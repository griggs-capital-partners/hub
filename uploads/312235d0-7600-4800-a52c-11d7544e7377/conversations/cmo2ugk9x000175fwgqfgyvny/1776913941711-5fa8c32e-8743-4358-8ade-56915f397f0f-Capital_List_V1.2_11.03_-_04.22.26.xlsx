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ce4ea1a87c888bc/Desktop/"/>
    </mc:Choice>
  </mc:AlternateContent>
  <xr:revisionPtr revIDLastSave="0" documentId="8_{62AECED8-785F-4AA2-A73B-3D47EFA3EB91}" xr6:coauthVersionLast="47" xr6:coauthVersionMax="47" xr10:uidLastSave="{00000000-0000-0000-0000-000000000000}"/>
  <bookViews>
    <workbookView xWindow="-98" yWindow="-98" windowWidth="21795" windowHeight="13875" xr2:uid="{9626AF5F-825A-4AEE-A3E0-0912C5E9A88B}"/>
  </bookViews>
  <sheets>
    <sheet name="Investor Summary" sheetId="3" r:id="rId1"/>
    <sheet name="4.01 CAPEX List" sheetId="1" r:id="rId2"/>
    <sheet name="JETI Program - CAP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3" l="1"/>
  <c r="O6" i="3"/>
  <c r="N7" i="3"/>
  <c r="O7" i="3"/>
  <c r="N8" i="3"/>
  <c r="O8" i="3"/>
  <c r="N9" i="3"/>
  <c r="O9" i="3"/>
  <c r="N10" i="3"/>
  <c r="O10" i="3" s="1"/>
  <c r="N11" i="3"/>
  <c r="O11" i="3"/>
  <c r="N12" i="3"/>
  <c r="O12" i="3" s="1"/>
  <c r="N13" i="3"/>
  <c r="O13" i="3"/>
  <c r="N14" i="3"/>
  <c r="O14" i="3"/>
  <c r="N15" i="3"/>
  <c r="O15" i="3"/>
  <c r="O5" i="3"/>
  <c r="N5" i="3"/>
  <c r="R4" i="1"/>
  <c r="G7" i="2"/>
  <c r="G9" i="2"/>
  <c r="F11" i="2"/>
  <c r="F7" i="2"/>
  <c r="F9" i="2"/>
  <c r="F5" i="2"/>
  <c r="G5" i="2" s="1"/>
  <c r="F3" i="2"/>
  <c r="G3" i="2" s="1"/>
  <c r="K7" i="3"/>
  <c r="J7" i="3"/>
  <c r="K10" i="3"/>
  <c r="K9" i="3"/>
  <c r="K8" i="3"/>
  <c r="K17" i="3" s="1"/>
  <c r="J17" i="3"/>
  <c r="J15" i="3"/>
  <c r="J12" i="3"/>
  <c r="J14" i="3"/>
  <c r="G11" i="2" s="1"/>
  <c r="J13" i="3"/>
  <c r="J11" i="3"/>
  <c r="J6" i="3"/>
  <c r="J5" i="3"/>
  <c r="D18" i="3"/>
  <c r="D17" i="3"/>
  <c r="Q53" i="1"/>
  <c r="Q50" i="1"/>
  <c r="Q40" i="1"/>
  <c r="Q31" i="1"/>
  <c r="Q30" i="1" s="1"/>
  <c r="Q29" i="1"/>
  <c r="Q28" i="1" s="1"/>
  <c r="M27" i="1"/>
  <c r="M26" i="1"/>
  <c r="M25" i="1"/>
  <c r="M24" i="1"/>
  <c r="M23" i="1"/>
  <c r="M22" i="1"/>
  <c r="M21" i="1"/>
  <c r="M20" i="1"/>
  <c r="M19" i="1"/>
  <c r="M18" i="1"/>
  <c r="Q18" i="1" s="1"/>
  <c r="M17" i="1"/>
  <c r="M16" i="1"/>
  <c r="M15" i="1"/>
  <c r="M14" i="1"/>
  <c r="M13" i="1"/>
  <c r="M12" i="1"/>
  <c r="M11" i="1"/>
  <c r="M10" i="1"/>
  <c r="M9" i="1"/>
  <c r="Q9" i="1" s="1"/>
  <c r="N17" i="3" l="1"/>
  <c r="O17" i="3"/>
  <c r="G14" i="2"/>
  <c r="F14" i="2"/>
  <c r="Q8" i="1"/>
</calcChain>
</file>

<file path=xl/sharedStrings.xml><?xml version="1.0" encoding="utf-8"?>
<sst xmlns="http://schemas.openxmlformats.org/spreadsheetml/2006/main" count="159" uniqueCount="112">
  <si>
    <t>4.00 - CAPEX List</t>
  </si>
  <si>
    <t>TOC</t>
  </si>
  <si>
    <t>CAPEX List</t>
  </si>
  <si>
    <t>Equipment Name / Description (A)</t>
  </si>
  <si>
    <t>Units</t>
  </si>
  <si>
    <t>Number of Units (B)</t>
  </si>
  <si>
    <t>Cost Per Unit (C)</t>
  </si>
  <si>
    <t>Total Cost (D)</t>
  </si>
  <si>
    <t>Extraction &amp; Reinjection Field</t>
  </si>
  <si>
    <t>Production Well</t>
  </si>
  <si>
    <t>ea.</t>
  </si>
  <si>
    <t>Surface Casing</t>
  </si>
  <si>
    <t>feet</t>
  </si>
  <si>
    <t>Intermediate Casing</t>
  </si>
  <si>
    <t>Wellhead Equipment</t>
  </si>
  <si>
    <t>Well Head</t>
  </si>
  <si>
    <t>Tubing</t>
  </si>
  <si>
    <t>ESP</t>
  </si>
  <si>
    <t>Intangible Drilling Costs</t>
  </si>
  <si>
    <t>Intangible Completion Costs</t>
  </si>
  <si>
    <t>Reinjection Well</t>
  </si>
  <si>
    <t xml:space="preserve">Reinjection facilities </t>
  </si>
  <si>
    <t>Interconnecting Lines</t>
  </si>
  <si>
    <t>Pipelines &amp; Connections</t>
  </si>
  <si>
    <t>miles</t>
  </si>
  <si>
    <t>Brine Processing</t>
  </si>
  <si>
    <t>Brine Treatment</t>
  </si>
  <si>
    <t>H2S Scrubber</t>
  </si>
  <si>
    <t>Feed Tank</t>
  </si>
  <si>
    <t>Organics Removal</t>
  </si>
  <si>
    <t>Clarifier</t>
  </si>
  <si>
    <t>Post Clarifier water tank</t>
  </si>
  <si>
    <t>Media filter</t>
  </si>
  <si>
    <t>Ultrafiltration system</t>
  </si>
  <si>
    <t>Solids Frac Tank</t>
  </si>
  <si>
    <t>DLE Processing</t>
  </si>
  <si>
    <t>RO System</t>
  </si>
  <si>
    <t>Brine Feed Storage</t>
  </si>
  <si>
    <t>Spent Brine Storage</t>
  </si>
  <si>
    <t>Make up water Storage</t>
  </si>
  <si>
    <t>Product storage tank</t>
  </si>
  <si>
    <t>Extraction columns</t>
  </si>
  <si>
    <t>Forwarding tanks</t>
  </si>
  <si>
    <t>Pipe racks</t>
  </si>
  <si>
    <t>Boiler</t>
  </si>
  <si>
    <t>Purification &amp; Concentration</t>
  </si>
  <si>
    <t>Ion Exchange</t>
  </si>
  <si>
    <t>Mechanical Vapor Recompression</t>
  </si>
  <si>
    <t>Carbonation</t>
  </si>
  <si>
    <t>Precipitation Reactor</t>
  </si>
  <si>
    <t>Filter press</t>
  </si>
  <si>
    <t>Wash reactor</t>
  </si>
  <si>
    <t>Conveyance</t>
  </si>
  <si>
    <t>Milling</t>
  </si>
  <si>
    <t>Packaging</t>
  </si>
  <si>
    <t>Chemical Storage &amp; Handling (Lump sum)</t>
  </si>
  <si>
    <t>Infrastructure / Site Works (Lump sum)</t>
  </si>
  <si>
    <t>Geothermal (Lump sum)</t>
  </si>
  <si>
    <t>Will any of the proposed required investment be leased under a capitalized lease?</t>
  </si>
  <si>
    <t>Other than the project, please provide the total annual capital investment budget for the facility for the next 5 years, if available.</t>
  </si>
  <si>
    <t>Capital Investment Questions</t>
  </si>
  <si>
    <t>Includes on-tangible or support-related expenses tied to the project.
Ex: Engineering consulting services</t>
  </si>
  <si>
    <t>Indirect Costs</t>
  </si>
  <si>
    <t>Includes equipment and systems necessary for operations.
Ex: Geothermal drilling rig</t>
  </si>
  <si>
    <t>Technical Assets and Machinery</t>
  </si>
  <si>
    <t>Includes construction or renovation of physical structures.
Ex: Maintenance building construction</t>
  </si>
  <si>
    <t>Building</t>
  </si>
  <si>
    <t>Includes foundational systems and utilities that support the site.
Ex: Road construction</t>
  </si>
  <si>
    <t>Infrastructure</t>
  </si>
  <si>
    <t>Includes acquisition, lease, or improvement of land and existing structures.
Ex: Purchase of land parcels</t>
  </si>
  <si>
    <t>Land and Property, including Upgrades</t>
  </si>
  <si>
    <t>Capital Investment (Detailed budget by year and investment type)</t>
  </si>
  <si>
    <t>CAPEX Assumptions</t>
  </si>
  <si>
    <t>Interconnecting lines</t>
  </si>
  <si>
    <t>DLE</t>
  </si>
  <si>
    <t>Lithium Conversion</t>
  </si>
  <si>
    <t>Chemical Storage, Handling &amp; Utilities</t>
  </si>
  <si>
    <t>Infrastructure / Site works</t>
  </si>
  <si>
    <t>Project Implementation</t>
  </si>
  <si>
    <t>Geothermal</t>
  </si>
  <si>
    <t>Land Acquisition</t>
  </si>
  <si>
    <t>M$</t>
  </si>
  <si>
    <t>Timing</t>
  </si>
  <si>
    <t>Method</t>
  </si>
  <si>
    <t>Notes</t>
  </si>
  <si>
    <t>AFE</t>
  </si>
  <si>
    <t>(1)</t>
  </si>
  <si>
    <t>BM</t>
  </si>
  <si>
    <t>Budget</t>
  </si>
  <si>
    <t>(2)</t>
  </si>
  <si>
    <t>Placeholder</t>
  </si>
  <si>
    <t>Total</t>
  </si>
  <si>
    <t>Total (rounded ) represented in Investor Model</t>
  </si>
  <si>
    <t>Notes:</t>
  </si>
  <si>
    <t>(1) 08.2025 Blondie Lady #1 Approved AFE, includes contingency (see 4.01) - scaled to 8 producers and 4 injectors</t>
  </si>
  <si>
    <t>(3)</t>
  </si>
  <si>
    <t>(3) Benchmarked from previous pipeline work</t>
  </si>
  <si>
    <t>(4) Benchmarked from SLI DFS as placeholder</t>
  </si>
  <si>
    <t>(4)</t>
  </si>
  <si>
    <t>(5)</t>
  </si>
  <si>
    <t>(6)</t>
  </si>
  <si>
    <t>(5) Placeholder for all owners cost pre-revenue</t>
  </si>
  <si>
    <t>(2) 09.22.25 budgetary conversations with Reclaim Lithium for 4kta plant, scaled to 8 well program</t>
  </si>
  <si>
    <t>(6) 10.14.25 Proposal from Turboden</t>
  </si>
  <si>
    <t>T5 Share</t>
  </si>
  <si>
    <t>JV (Proposed)</t>
  </si>
  <si>
    <t>// Includes 4.02 and 4.09 from Investor Summary</t>
  </si>
  <si>
    <t>// Assumed 5% of Technical Assets and Machinery</t>
  </si>
  <si>
    <t>// Assumed 25% of Technical Assets and Machinery + 4.10</t>
  </si>
  <si>
    <t>// Includes 70% of 4.01, 4.03, 4.04, 4.05, 4.06, 4.07, 4.08</t>
  </si>
  <si>
    <t>Tangible</t>
  </si>
  <si>
    <t>Intangible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</si>
</sst>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#,##0.0"/>
    <numFmt numFmtId="166" formatCode="0.0"/>
    <numFmt numFmtId="167" formatCode="&quot;$&quot;#,##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74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2" xfId="0" applyFont="1" applyBorder="1"/>
    <xf numFmtId="0" fontId="5" fillId="4" borderId="0" xfId="0" applyFont="1" applyFill="1"/>
    <xf numFmtId="0" fontId="8" fillId="0" borderId="7" xfId="0" applyFont="1" applyBorder="1" applyAlignment="1">
      <alignment horizontal="left" vertical="top" wrapText="1"/>
    </xf>
    <xf numFmtId="0" fontId="6" fillId="0" borderId="10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9" fillId="0" borderId="5" xfId="0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11" fillId="0" borderId="0" xfId="0" quotePrefix="1" applyFont="1" applyAlignment="1">
      <alignment horizontal="left"/>
    </xf>
    <xf numFmtId="0" fontId="5" fillId="0" borderId="0" xfId="0" applyFont="1" applyAlignment="1">
      <alignment horizontal="center"/>
    </xf>
    <xf numFmtId="0" fontId="12" fillId="0" borderId="0" xfId="0" applyFont="1"/>
    <xf numFmtId="0" fontId="12" fillId="0" borderId="0" xfId="0" quotePrefix="1" applyFont="1" applyAlignment="1">
      <alignment horizontal="left" vertical="center"/>
    </xf>
    <xf numFmtId="0" fontId="12" fillId="0" borderId="0" xfId="0" quotePrefix="1" applyFont="1"/>
    <xf numFmtId="2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center"/>
    </xf>
    <xf numFmtId="166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7" fillId="4" borderId="5" xfId="0" applyFont="1" applyFill="1" applyBorder="1"/>
    <xf numFmtId="0" fontId="6" fillId="0" borderId="4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167" fontId="0" fillId="0" borderId="1" xfId="0" applyNumberFormat="1" applyBorder="1" applyAlignment="1">
      <alignment horizontal="center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indent="1"/>
    </xf>
    <xf numFmtId="164" fontId="1" fillId="3" borderId="0" xfId="0" applyNumberFormat="1" applyFont="1" applyFill="1" applyAlignment="1">
      <alignment horizontal="right" inden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indent="1"/>
    </xf>
    <xf numFmtId="0" fontId="9" fillId="0" borderId="0" xfId="0" applyFont="1" applyFill="1" applyBorder="1" applyAlignment="1">
      <alignment horizontal="center"/>
    </xf>
    <xf numFmtId="9" fontId="10" fillId="0" borderId="0" xfId="2" applyFont="1" applyAlignment="1">
      <alignment horizontal="center"/>
    </xf>
    <xf numFmtId="9" fontId="4" fillId="0" borderId="0" xfId="2" applyFont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BF07-0099-428E-BF76-8FA61CEB2960}">
  <dimension ref="B4:O26"/>
  <sheetViews>
    <sheetView tabSelected="1" workbookViewId="0">
      <selection activeCell="N24" sqref="N24"/>
    </sheetView>
  </sheetViews>
  <sheetFormatPr defaultRowHeight="14.25" x14ac:dyDescent="0.45"/>
  <cols>
    <col min="2" max="2" width="9.53125" style="1" customWidth="1"/>
    <col min="3" max="3" width="29.6640625" customWidth="1"/>
  </cols>
  <sheetData>
    <row r="4" spans="2:15" x14ac:dyDescent="0.45">
      <c r="B4" s="27" t="s">
        <v>72</v>
      </c>
      <c r="D4" s="23" t="s">
        <v>81</v>
      </c>
      <c r="F4" s="23" t="s">
        <v>82</v>
      </c>
      <c r="G4" s="23" t="s">
        <v>83</v>
      </c>
      <c r="H4" s="23" t="s">
        <v>84</v>
      </c>
      <c r="J4" s="23" t="s">
        <v>104</v>
      </c>
      <c r="K4" s="23" t="s">
        <v>105</v>
      </c>
      <c r="N4" s="58" t="s">
        <v>110</v>
      </c>
      <c r="O4" s="58" t="s">
        <v>111</v>
      </c>
    </row>
    <row r="5" spans="2:15" x14ac:dyDescent="0.45">
      <c r="B5" s="1">
        <v>4.01</v>
      </c>
      <c r="C5" t="s">
        <v>8</v>
      </c>
      <c r="D5" s="24">
        <v>65.900000000000006</v>
      </c>
      <c r="F5" s="25">
        <v>2025</v>
      </c>
      <c r="G5" s="25" t="s">
        <v>85</v>
      </c>
      <c r="H5" s="25" t="s">
        <v>86</v>
      </c>
      <c r="J5" s="24">
        <f>D5</f>
        <v>65.900000000000006</v>
      </c>
      <c r="K5" s="24"/>
      <c r="M5" s="60">
        <v>0.3</v>
      </c>
      <c r="N5" s="24">
        <f>M5*D5</f>
        <v>19.77</v>
      </c>
      <c r="O5" s="24">
        <f>D5-N5</f>
        <v>46.13000000000001</v>
      </c>
    </row>
    <row r="6" spans="2:15" x14ac:dyDescent="0.45">
      <c r="B6" s="1">
        <v>4.0199999999999996</v>
      </c>
      <c r="C6" t="s">
        <v>73</v>
      </c>
      <c r="D6" s="24">
        <v>17.600000000000001</v>
      </c>
      <c r="F6" s="25">
        <v>2026</v>
      </c>
      <c r="G6" s="25" t="s">
        <v>87</v>
      </c>
      <c r="H6" s="26" t="s">
        <v>95</v>
      </c>
      <c r="J6" s="24">
        <f>D6</f>
        <v>17.600000000000001</v>
      </c>
      <c r="K6" s="24"/>
      <c r="M6" s="60">
        <v>0.9</v>
      </c>
      <c r="N6" s="24">
        <f t="shared" ref="N6:N15" si="0">M6*D6</f>
        <v>15.840000000000002</v>
      </c>
      <c r="O6" s="24">
        <f t="shared" ref="O6:O15" si="1">D6-N6</f>
        <v>1.7599999999999998</v>
      </c>
    </row>
    <row r="7" spans="2:15" x14ac:dyDescent="0.45">
      <c r="B7" s="1">
        <v>4.03</v>
      </c>
      <c r="C7" t="s">
        <v>26</v>
      </c>
      <c r="D7" s="24">
        <v>38.390879999999996</v>
      </c>
      <c r="F7" s="25">
        <v>2026</v>
      </c>
      <c r="G7" s="25" t="s">
        <v>88</v>
      </c>
      <c r="H7" s="26" t="s">
        <v>89</v>
      </c>
      <c r="J7" s="24">
        <f>0.4*D7</f>
        <v>15.356351999999999</v>
      </c>
      <c r="K7" s="24">
        <f>0.6*D7</f>
        <v>23.034527999999998</v>
      </c>
      <c r="M7" s="60">
        <v>0.8</v>
      </c>
      <c r="N7" s="24">
        <f t="shared" si="0"/>
        <v>30.712703999999999</v>
      </c>
      <c r="O7" s="24">
        <f t="shared" si="1"/>
        <v>7.678175999999997</v>
      </c>
    </row>
    <row r="8" spans="2:15" x14ac:dyDescent="0.45">
      <c r="B8" s="1">
        <v>4.04</v>
      </c>
      <c r="C8" t="s">
        <v>74</v>
      </c>
      <c r="D8" s="24">
        <v>84.908384000000012</v>
      </c>
      <c r="F8" s="25">
        <v>2026</v>
      </c>
      <c r="G8" s="25" t="s">
        <v>88</v>
      </c>
      <c r="H8" s="26" t="s">
        <v>89</v>
      </c>
      <c r="J8" s="24"/>
      <c r="K8" s="24">
        <f t="shared" ref="K8:K10" si="2">D8</f>
        <v>84.908384000000012</v>
      </c>
      <c r="M8" s="60">
        <v>0.8</v>
      </c>
      <c r="N8" s="24">
        <f t="shared" si="0"/>
        <v>67.92670720000001</v>
      </c>
      <c r="O8" s="24">
        <f t="shared" si="1"/>
        <v>16.981676800000002</v>
      </c>
    </row>
    <row r="9" spans="2:15" x14ac:dyDescent="0.45">
      <c r="B9" s="1">
        <v>4.05</v>
      </c>
      <c r="C9" t="s">
        <v>45</v>
      </c>
      <c r="D9" s="24">
        <v>30.712703999999999</v>
      </c>
      <c r="F9" s="25">
        <v>2026</v>
      </c>
      <c r="G9" s="25" t="s">
        <v>88</v>
      </c>
      <c r="H9" s="26" t="s">
        <v>89</v>
      </c>
      <c r="J9" s="24"/>
      <c r="K9" s="24">
        <f t="shared" si="2"/>
        <v>30.712703999999999</v>
      </c>
      <c r="M9" s="60">
        <v>0.8</v>
      </c>
      <c r="N9" s="24">
        <f t="shared" si="0"/>
        <v>24.5701632</v>
      </c>
      <c r="O9" s="24">
        <f t="shared" si="1"/>
        <v>6.142540799999999</v>
      </c>
    </row>
    <row r="10" spans="2:15" x14ac:dyDescent="0.45">
      <c r="B10" s="1">
        <v>4.0599999999999996</v>
      </c>
      <c r="C10" t="s">
        <v>75</v>
      </c>
      <c r="D10" s="24">
        <v>26.975999999999999</v>
      </c>
      <c r="F10" s="25">
        <v>2027</v>
      </c>
      <c r="G10" s="25" t="s">
        <v>88</v>
      </c>
      <c r="H10" s="26" t="s">
        <v>89</v>
      </c>
      <c r="J10" s="24"/>
      <c r="K10" s="24">
        <f t="shared" si="2"/>
        <v>26.975999999999999</v>
      </c>
      <c r="M10" s="60">
        <v>0.8</v>
      </c>
      <c r="N10" s="24">
        <f t="shared" si="0"/>
        <v>21.5808</v>
      </c>
      <c r="O10" s="24">
        <f t="shared" si="1"/>
        <v>5.3951999999999991</v>
      </c>
    </row>
    <row r="11" spans="2:15" x14ac:dyDescent="0.45">
      <c r="B11" s="1">
        <v>4.07</v>
      </c>
      <c r="C11" t="s">
        <v>76</v>
      </c>
      <c r="D11" s="24">
        <v>22.336511999999999</v>
      </c>
      <c r="F11" s="25">
        <v>2026</v>
      </c>
      <c r="G11" s="25" t="s">
        <v>87</v>
      </c>
      <c r="H11" s="26" t="s">
        <v>98</v>
      </c>
      <c r="J11" s="24">
        <f>D11</f>
        <v>22.336511999999999</v>
      </c>
      <c r="K11" s="24"/>
      <c r="M11" s="60">
        <v>0.9</v>
      </c>
      <c r="N11" s="24">
        <f t="shared" si="0"/>
        <v>20.102860799999998</v>
      </c>
      <c r="O11" s="24">
        <f t="shared" si="1"/>
        <v>2.2336512000000006</v>
      </c>
    </row>
    <row r="12" spans="2:15" x14ac:dyDescent="0.45">
      <c r="B12" s="1">
        <v>4.08</v>
      </c>
      <c r="C12" t="s">
        <v>79</v>
      </c>
      <c r="D12" s="24">
        <v>18</v>
      </c>
      <c r="F12" s="25">
        <v>2027</v>
      </c>
      <c r="G12" s="25" t="s">
        <v>88</v>
      </c>
      <c r="H12" s="26" t="s">
        <v>100</v>
      </c>
      <c r="J12" s="24">
        <f>D12</f>
        <v>18</v>
      </c>
      <c r="K12" s="24"/>
      <c r="M12" s="60">
        <v>0.8</v>
      </c>
      <c r="N12" s="24">
        <f t="shared" si="0"/>
        <v>14.4</v>
      </c>
      <c r="O12" s="24">
        <f t="shared" si="1"/>
        <v>3.5999999999999996</v>
      </c>
    </row>
    <row r="13" spans="2:15" x14ac:dyDescent="0.45">
      <c r="B13" s="1">
        <v>4.09</v>
      </c>
      <c r="C13" t="s">
        <v>77</v>
      </c>
      <c r="D13" s="24">
        <v>9.6</v>
      </c>
      <c r="F13" s="25">
        <v>2026</v>
      </c>
      <c r="G13" s="25" t="s">
        <v>90</v>
      </c>
      <c r="H13" s="25"/>
      <c r="J13" s="24">
        <f>D13</f>
        <v>9.6</v>
      </c>
      <c r="K13" s="24"/>
      <c r="M13" s="60">
        <v>0.9</v>
      </c>
      <c r="N13" s="24">
        <f t="shared" si="0"/>
        <v>8.64</v>
      </c>
      <c r="O13" s="24">
        <f t="shared" si="1"/>
        <v>0.95999999999999908</v>
      </c>
    </row>
    <row r="14" spans="2:15" x14ac:dyDescent="0.45">
      <c r="B14" s="33">
        <v>4.0999999999999996</v>
      </c>
      <c r="C14" t="s">
        <v>78</v>
      </c>
      <c r="D14" s="24">
        <v>15</v>
      </c>
      <c r="F14" s="25">
        <v>2026</v>
      </c>
      <c r="G14" s="25" t="s">
        <v>90</v>
      </c>
      <c r="H14" s="26" t="s">
        <v>99</v>
      </c>
      <c r="J14" s="24">
        <f>D14</f>
        <v>15</v>
      </c>
      <c r="K14" s="24"/>
      <c r="M14" s="60">
        <v>0</v>
      </c>
      <c r="N14" s="24">
        <f t="shared" si="0"/>
        <v>0</v>
      </c>
      <c r="O14" s="24">
        <f t="shared" si="1"/>
        <v>15</v>
      </c>
    </row>
    <row r="15" spans="2:15" x14ac:dyDescent="0.45">
      <c r="B15" s="1">
        <v>4.1100000000000003</v>
      </c>
      <c r="C15" t="s">
        <v>80</v>
      </c>
      <c r="D15" s="24">
        <v>5</v>
      </c>
      <c r="F15" s="25">
        <v>2025</v>
      </c>
      <c r="G15" s="25" t="s">
        <v>90</v>
      </c>
      <c r="H15" s="25"/>
      <c r="J15" s="24">
        <f>D15</f>
        <v>5</v>
      </c>
      <c r="K15" s="24"/>
      <c r="M15" s="60">
        <v>1</v>
      </c>
      <c r="N15" s="24">
        <f t="shared" si="0"/>
        <v>5</v>
      </c>
      <c r="O15" s="24">
        <f t="shared" si="1"/>
        <v>0</v>
      </c>
    </row>
    <row r="17" spans="2:15" x14ac:dyDescent="0.45">
      <c r="B17" s="27" t="s">
        <v>91</v>
      </c>
      <c r="D17" s="24">
        <f>SUM(D5:D15)</f>
        <v>334.42448000000002</v>
      </c>
      <c r="F17" s="25"/>
      <c r="G17" s="25"/>
      <c r="H17" s="25"/>
      <c r="J17" s="24">
        <f>SUM(J5:J15)</f>
        <v>168.79286399999998</v>
      </c>
      <c r="K17" s="24">
        <f>SUM(K5:K15)</f>
        <v>165.63161600000001</v>
      </c>
      <c r="N17" s="59">
        <f>SUM(N5:N15)/D17</f>
        <v>0.68339266072866445</v>
      </c>
      <c r="O17" s="59">
        <f>SUM(O5:O15)/D17</f>
        <v>0.31660733927133561</v>
      </c>
    </row>
    <row r="18" spans="2:15" x14ac:dyDescent="0.45">
      <c r="B18" s="27" t="s">
        <v>92</v>
      </c>
      <c r="D18" s="24">
        <f>335</f>
        <v>335</v>
      </c>
      <c r="J18" s="24">
        <v>170</v>
      </c>
      <c r="K18" s="24"/>
    </row>
    <row r="20" spans="2:15" x14ac:dyDescent="0.45">
      <c r="B20" s="1" t="s">
        <v>93</v>
      </c>
    </row>
    <row r="21" spans="2:15" x14ac:dyDescent="0.45">
      <c r="B21" s="28" t="s">
        <v>94</v>
      </c>
    </row>
    <row r="22" spans="2:15" x14ac:dyDescent="0.45">
      <c r="B22" s="28" t="s">
        <v>102</v>
      </c>
    </row>
    <row r="23" spans="2:15" x14ac:dyDescent="0.45">
      <c r="B23" s="28" t="s">
        <v>96</v>
      </c>
    </row>
    <row r="24" spans="2:15" x14ac:dyDescent="0.45">
      <c r="B24" s="28" t="s">
        <v>97</v>
      </c>
    </row>
    <row r="25" spans="2:15" x14ac:dyDescent="0.45">
      <c r="B25" s="28" t="s">
        <v>101</v>
      </c>
    </row>
    <row r="26" spans="2:15" x14ac:dyDescent="0.45">
      <c r="B26" s="28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E3AE-9638-4569-BF73-8D28FF782820}">
  <sheetPr>
    <tabColor rgb="FFFFCCFF"/>
  </sheetPr>
  <dimension ref="B1:T145"/>
  <sheetViews>
    <sheetView workbookViewId="0">
      <selection activeCell="F19" sqref="F19"/>
    </sheetView>
  </sheetViews>
  <sheetFormatPr defaultColWidth="11.73046875" defaultRowHeight="10.5" x14ac:dyDescent="0.45"/>
  <cols>
    <col min="1" max="1" width="11.73046875" style="6"/>
    <col min="2" max="3" width="4.265625" style="6" customWidth="1"/>
    <col min="4" max="4" width="10.73046875" style="6" customWidth="1"/>
    <col min="5" max="7" width="9" style="6" customWidth="1"/>
    <col min="8" max="8" width="9" style="16" customWidth="1"/>
    <col min="9" max="9" width="9" style="6" customWidth="1"/>
    <col min="10" max="10" width="10.73046875" style="6" customWidth="1"/>
    <col min="11" max="19" width="9" style="6" customWidth="1"/>
    <col min="20" max="16384" width="11.73046875" style="6"/>
  </cols>
  <sheetData>
    <row r="1" spans="2:20" customFormat="1" ht="15" customHeight="1" x14ac:dyDescent="0.45">
      <c r="H1" s="1"/>
      <c r="N1" s="1"/>
      <c r="O1" s="1"/>
    </row>
    <row r="2" spans="2:20" customFormat="1" ht="18" customHeight="1" x14ac:dyDescent="0.55000000000000004">
      <c r="B2" s="2" t="s">
        <v>0</v>
      </c>
      <c r="C2" s="3"/>
      <c r="D2" s="3"/>
      <c r="E2" s="3"/>
      <c r="F2" s="3"/>
      <c r="G2" s="3"/>
      <c r="H2" s="4"/>
      <c r="I2" s="3"/>
      <c r="J2" s="3"/>
      <c r="K2" s="3"/>
      <c r="L2" s="3"/>
      <c r="M2" s="4"/>
      <c r="N2" s="4"/>
      <c r="O2" s="3"/>
      <c r="P2" s="3"/>
      <c r="Q2" s="3"/>
      <c r="R2" s="3"/>
      <c r="S2" s="5" t="s">
        <v>1</v>
      </c>
      <c r="T2" s="6"/>
    </row>
    <row r="3" spans="2:20" customFormat="1" ht="15" customHeight="1" x14ac:dyDescent="0.45">
      <c r="H3" s="1"/>
      <c r="M3" s="1"/>
      <c r="N3" s="1"/>
      <c r="T3" s="6"/>
    </row>
    <row r="4" spans="2:20" customFormat="1" ht="15" customHeight="1" thickBot="1" x14ac:dyDescent="0.5">
      <c r="B4" s="7" t="s">
        <v>2</v>
      </c>
      <c r="C4" s="7"/>
      <c r="D4" s="7"/>
      <c r="E4" s="7"/>
      <c r="F4" s="7"/>
      <c r="G4" s="7"/>
      <c r="H4" s="8"/>
      <c r="I4" s="7"/>
      <c r="J4" s="7"/>
      <c r="K4" s="7"/>
      <c r="L4" s="7"/>
      <c r="M4" s="8"/>
      <c r="N4" s="8"/>
      <c r="O4" s="7"/>
      <c r="P4" s="7"/>
      <c r="Q4" s="7"/>
      <c r="R4" s="51">
        <f>SUM(Q8,Q28,Q30,Q60:S64)</f>
        <v>334400122.93549329</v>
      </c>
      <c r="S4" s="51"/>
      <c r="T4" s="6"/>
    </row>
    <row r="5" spans="2:20" customFormat="1" ht="15" customHeight="1" x14ac:dyDescent="0.45">
      <c r="H5" s="1"/>
      <c r="M5" s="1"/>
      <c r="N5" s="1"/>
      <c r="T5" s="6"/>
    </row>
    <row r="6" spans="2:20" customFormat="1" ht="15" customHeight="1" x14ac:dyDescent="0.45">
      <c r="B6" t="s">
        <v>3</v>
      </c>
      <c r="H6" s="1" t="s">
        <v>4</v>
      </c>
      <c r="I6" s="55" t="s">
        <v>5</v>
      </c>
      <c r="J6" s="55"/>
      <c r="K6" s="55"/>
      <c r="M6" s="55" t="s">
        <v>6</v>
      </c>
      <c r="N6" s="55"/>
      <c r="O6" s="55"/>
      <c r="Q6" s="55" t="s">
        <v>7</v>
      </c>
      <c r="R6" s="55"/>
      <c r="S6" s="55"/>
      <c r="T6" s="6"/>
    </row>
    <row r="7" spans="2:20" customFormat="1" ht="15" customHeight="1" x14ac:dyDescent="0.45">
      <c r="H7" s="1"/>
      <c r="M7" s="1"/>
      <c r="N7" s="1"/>
      <c r="T7" s="6"/>
    </row>
    <row r="8" spans="2:20" customFormat="1" ht="15" customHeight="1" x14ac:dyDescent="0.45">
      <c r="B8" s="9" t="s">
        <v>8</v>
      </c>
      <c r="C8" s="9"/>
      <c r="D8" s="9"/>
      <c r="E8" s="9"/>
      <c r="F8" s="9"/>
      <c r="G8" s="9"/>
      <c r="H8" s="10"/>
      <c r="I8" s="9"/>
      <c r="J8" s="9"/>
      <c r="K8" s="9"/>
      <c r="L8" s="9"/>
      <c r="M8" s="54"/>
      <c r="N8" s="54"/>
      <c r="O8" s="54"/>
      <c r="P8" s="9"/>
      <c r="Q8" s="54">
        <f>Q9+Q18</f>
        <v>65900122.935493298</v>
      </c>
      <c r="R8" s="54"/>
      <c r="S8" s="54"/>
      <c r="T8" s="6"/>
    </row>
    <row r="9" spans="2:20" customFormat="1" ht="15" customHeight="1" x14ac:dyDescent="0.45">
      <c r="C9" s="11" t="s">
        <v>9</v>
      </c>
      <c r="D9" s="11"/>
      <c r="E9" s="11"/>
      <c r="F9" s="11"/>
      <c r="G9" s="11"/>
      <c r="H9" s="12" t="s">
        <v>10</v>
      </c>
      <c r="I9" s="52">
        <v>8</v>
      </c>
      <c r="J9" s="52"/>
      <c r="K9" s="52"/>
      <c r="L9" s="11"/>
      <c r="M9" s="53">
        <f>SUM(Q10:S17)</f>
        <v>5325010.2446244415</v>
      </c>
      <c r="N9" s="53"/>
      <c r="O9" s="53"/>
      <c r="P9" s="11"/>
      <c r="Q9" s="53">
        <f>I9*M9</f>
        <v>42600081.956995532</v>
      </c>
      <c r="R9" s="53"/>
      <c r="S9" s="53"/>
      <c r="T9" s="6"/>
    </row>
    <row r="10" spans="2:20" customFormat="1" ht="15" customHeight="1" x14ac:dyDescent="0.45">
      <c r="D10" t="s">
        <v>11</v>
      </c>
      <c r="H10" s="1" t="s">
        <v>12</v>
      </c>
      <c r="I10" s="56">
        <v>1500</v>
      </c>
      <c r="J10" s="56"/>
      <c r="K10" s="56"/>
      <c r="M10" s="57">
        <f t="shared" ref="M10:M17" si="0">Q10/I10</f>
        <v>41.838883333333328</v>
      </c>
      <c r="N10" s="57"/>
      <c r="O10" s="57"/>
      <c r="Q10" s="57">
        <v>62758.324999999997</v>
      </c>
      <c r="R10" s="57"/>
      <c r="S10" s="57"/>
      <c r="T10" s="6"/>
    </row>
    <row r="11" spans="2:20" customFormat="1" ht="15" customHeight="1" x14ac:dyDescent="0.45">
      <c r="D11" t="s">
        <v>13</v>
      </c>
      <c r="H11" s="1" t="s">
        <v>12</v>
      </c>
      <c r="I11" s="56">
        <v>11250</v>
      </c>
      <c r="J11" s="56"/>
      <c r="K11" s="56"/>
      <c r="M11" s="57">
        <f t="shared" si="0"/>
        <v>52.331222222222223</v>
      </c>
      <c r="N11" s="57"/>
      <c r="O11" s="57"/>
      <c r="Q11" s="57">
        <v>588726.25</v>
      </c>
      <c r="R11" s="57"/>
      <c r="S11" s="57"/>
      <c r="T11" s="6"/>
    </row>
    <row r="12" spans="2:20" customFormat="1" ht="15" customHeight="1" x14ac:dyDescent="0.45">
      <c r="D12" t="s">
        <v>14</v>
      </c>
      <c r="H12" s="1" t="s">
        <v>10</v>
      </c>
      <c r="I12" s="56">
        <v>1</v>
      </c>
      <c r="J12" s="56"/>
      <c r="K12" s="56"/>
      <c r="M12" s="57">
        <f t="shared" si="0"/>
        <v>21350</v>
      </c>
      <c r="N12" s="57"/>
      <c r="O12" s="57"/>
      <c r="Q12" s="57">
        <v>21350</v>
      </c>
      <c r="R12" s="57"/>
      <c r="S12" s="57"/>
      <c r="T12" s="6"/>
    </row>
    <row r="13" spans="2:20" customFormat="1" ht="15" customHeight="1" x14ac:dyDescent="0.45">
      <c r="D13" t="s">
        <v>15</v>
      </c>
      <c r="H13" s="1" t="s">
        <v>10</v>
      </c>
      <c r="I13" s="56">
        <v>1</v>
      </c>
      <c r="J13" s="56">
        <v>1</v>
      </c>
      <c r="K13" s="56"/>
      <c r="M13" s="57">
        <f t="shared" si="0"/>
        <v>181475</v>
      </c>
      <c r="N13" s="57"/>
      <c r="O13" s="57"/>
      <c r="Q13" s="57">
        <v>181475</v>
      </c>
      <c r="R13" s="57"/>
      <c r="S13" s="57"/>
      <c r="T13" s="6"/>
    </row>
    <row r="14" spans="2:20" customFormat="1" ht="15" customHeight="1" x14ac:dyDescent="0.45">
      <c r="D14" t="s">
        <v>16</v>
      </c>
      <c r="H14" s="1" t="s">
        <v>12</v>
      </c>
      <c r="I14" s="56">
        <v>11050</v>
      </c>
      <c r="J14" s="56"/>
      <c r="K14" s="56"/>
      <c r="M14" s="57">
        <f t="shared" si="0"/>
        <v>24.018750000000001</v>
      </c>
      <c r="N14" s="57"/>
      <c r="O14" s="57"/>
      <c r="Q14" s="57">
        <v>265407.1875</v>
      </c>
      <c r="R14" s="57"/>
      <c r="S14" s="57"/>
      <c r="T14" s="6"/>
    </row>
    <row r="15" spans="2:20" customFormat="1" ht="15" customHeight="1" x14ac:dyDescent="0.45">
      <c r="D15" t="s">
        <v>17</v>
      </c>
      <c r="H15" s="1" t="s">
        <v>10</v>
      </c>
      <c r="I15" s="56">
        <v>1</v>
      </c>
      <c r="J15" s="56">
        <v>1</v>
      </c>
      <c r="K15" s="56"/>
      <c r="M15" s="57">
        <f t="shared" si="0"/>
        <v>414723.75</v>
      </c>
      <c r="N15" s="57"/>
      <c r="O15" s="57"/>
      <c r="Q15" s="57">
        <v>414723.75</v>
      </c>
      <c r="R15" s="57"/>
      <c r="S15" s="57"/>
      <c r="T15" s="6"/>
    </row>
    <row r="16" spans="2:20" customFormat="1" ht="15" customHeight="1" x14ac:dyDescent="0.45">
      <c r="D16" t="s">
        <v>18</v>
      </c>
      <c r="H16" s="1" t="s">
        <v>10</v>
      </c>
      <c r="I16" s="56">
        <v>1</v>
      </c>
      <c r="J16" s="56">
        <v>1</v>
      </c>
      <c r="K16" s="56"/>
      <c r="M16" s="57">
        <f t="shared" si="0"/>
        <v>3559350.037124441</v>
      </c>
      <c r="N16" s="57"/>
      <c r="O16" s="57"/>
      <c r="Q16" s="57">
        <v>3559350.037124441</v>
      </c>
      <c r="R16" s="57"/>
      <c r="S16" s="57"/>
      <c r="T16" s="6"/>
    </row>
    <row r="17" spans="2:20" customFormat="1" ht="15" customHeight="1" x14ac:dyDescent="0.45">
      <c r="D17" t="s">
        <v>19</v>
      </c>
      <c r="H17" s="1" t="s">
        <v>10</v>
      </c>
      <c r="I17" s="56">
        <v>1</v>
      </c>
      <c r="J17" s="56">
        <v>1</v>
      </c>
      <c r="K17" s="56"/>
      <c r="M17" s="57">
        <f t="shared" si="0"/>
        <v>231219.69500000001</v>
      </c>
      <c r="N17" s="57"/>
      <c r="O17" s="57"/>
      <c r="Q17" s="57">
        <v>231219.69500000001</v>
      </c>
      <c r="R17" s="57"/>
      <c r="S17" s="57"/>
      <c r="T17" s="6"/>
    </row>
    <row r="18" spans="2:20" customFormat="1" ht="15" customHeight="1" x14ac:dyDescent="0.45">
      <c r="C18" s="11" t="s">
        <v>20</v>
      </c>
      <c r="D18" s="11"/>
      <c r="E18" s="11"/>
      <c r="F18" s="11"/>
      <c r="G18" s="11"/>
      <c r="H18" s="12" t="s">
        <v>10</v>
      </c>
      <c r="I18" s="52">
        <v>4</v>
      </c>
      <c r="J18" s="52"/>
      <c r="K18" s="52"/>
      <c r="L18" s="11"/>
      <c r="M18" s="53">
        <f>SUM(Q19:S27)</f>
        <v>5825010.2446244415</v>
      </c>
      <c r="N18" s="53"/>
      <c r="O18" s="53"/>
      <c r="P18" s="11"/>
      <c r="Q18" s="53">
        <f>I18*M18</f>
        <v>23300040.978497766</v>
      </c>
      <c r="R18" s="53"/>
      <c r="S18" s="53"/>
      <c r="T18" s="6"/>
    </row>
    <row r="19" spans="2:20" customFormat="1" ht="15" customHeight="1" x14ac:dyDescent="0.45">
      <c r="D19" t="s">
        <v>11</v>
      </c>
      <c r="H19" s="1" t="s">
        <v>12</v>
      </c>
      <c r="I19" s="56">
        <v>1500</v>
      </c>
      <c r="J19" s="56"/>
      <c r="K19" s="56"/>
      <c r="M19" s="57">
        <f t="shared" ref="M19:M27" si="1">Q19/I19</f>
        <v>41.838883333333328</v>
      </c>
      <c r="N19" s="57"/>
      <c r="O19" s="57"/>
      <c r="Q19" s="57">
        <v>62758.324999999997</v>
      </c>
      <c r="R19" s="57"/>
      <c r="S19" s="57"/>
      <c r="T19" s="6"/>
    </row>
    <row r="20" spans="2:20" customFormat="1" ht="15" customHeight="1" x14ac:dyDescent="0.45">
      <c r="D20" t="s">
        <v>13</v>
      </c>
      <c r="H20" s="1" t="s">
        <v>12</v>
      </c>
      <c r="I20" s="56">
        <v>11250</v>
      </c>
      <c r="J20" s="56"/>
      <c r="K20" s="56"/>
      <c r="M20" s="57">
        <f t="shared" si="1"/>
        <v>52.331222222222223</v>
      </c>
      <c r="N20" s="57"/>
      <c r="O20" s="57"/>
      <c r="Q20" s="57">
        <v>588726.25</v>
      </c>
      <c r="R20" s="57"/>
      <c r="S20" s="57"/>
      <c r="T20" s="6"/>
    </row>
    <row r="21" spans="2:20" customFormat="1" ht="15" customHeight="1" x14ac:dyDescent="0.45">
      <c r="D21" t="s">
        <v>14</v>
      </c>
      <c r="H21" s="1" t="s">
        <v>10</v>
      </c>
      <c r="I21" s="56">
        <v>1</v>
      </c>
      <c r="J21" s="56"/>
      <c r="K21" s="56"/>
      <c r="M21" s="57">
        <f t="shared" si="1"/>
        <v>21350</v>
      </c>
      <c r="N21" s="57"/>
      <c r="O21" s="57"/>
      <c r="Q21" s="57">
        <v>21350</v>
      </c>
      <c r="R21" s="57"/>
      <c r="S21" s="57"/>
      <c r="T21" s="6"/>
    </row>
    <row r="22" spans="2:20" customFormat="1" ht="15" customHeight="1" x14ac:dyDescent="0.45">
      <c r="D22" t="s">
        <v>15</v>
      </c>
      <c r="H22" s="1" t="s">
        <v>10</v>
      </c>
      <c r="I22" s="56">
        <v>1</v>
      </c>
      <c r="J22" s="56">
        <v>1</v>
      </c>
      <c r="K22" s="56"/>
      <c r="M22" s="57">
        <f t="shared" si="1"/>
        <v>181475</v>
      </c>
      <c r="N22" s="57"/>
      <c r="O22" s="57"/>
      <c r="Q22" s="57">
        <v>181475</v>
      </c>
      <c r="R22" s="57"/>
      <c r="S22" s="57"/>
      <c r="T22" s="6"/>
    </row>
    <row r="23" spans="2:20" customFormat="1" ht="15" customHeight="1" x14ac:dyDescent="0.45">
      <c r="D23" t="s">
        <v>16</v>
      </c>
      <c r="H23" s="1" t="s">
        <v>12</v>
      </c>
      <c r="I23" s="56">
        <v>11050</v>
      </c>
      <c r="J23" s="56"/>
      <c r="K23" s="56"/>
      <c r="M23" s="57">
        <f t="shared" si="1"/>
        <v>24.018750000000001</v>
      </c>
      <c r="N23" s="57"/>
      <c r="O23" s="57"/>
      <c r="Q23" s="57">
        <v>265407.1875</v>
      </c>
      <c r="R23" s="57"/>
      <c r="S23" s="57"/>
      <c r="T23" s="6"/>
    </row>
    <row r="24" spans="2:20" customFormat="1" ht="15" customHeight="1" x14ac:dyDescent="0.45">
      <c r="D24" t="s">
        <v>17</v>
      </c>
      <c r="H24" s="1" t="s">
        <v>10</v>
      </c>
      <c r="I24" s="56">
        <v>1</v>
      </c>
      <c r="J24" s="56">
        <v>1</v>
      </c>
      <c r="K24" s="56"/>
      <c r="M24" s="57">
        <f t="shared" si="1"/>
        <v>414723.75</v>
      </c>
      <c r="N24" s="57"/>
      <c r="O24" s="57"/>
      <c r="Q24" s="57">
        <v>414723.75</v>
      </c>
      <c r="R24" s="57"/>
      <c r="S24" s="57"/>
      <c r="T24" s="6"/>
    </row>
    <row r="25" spans="2:20" customFormat="1" ht="15" customHeight="1" x14ac:dyDescent="0.45">
      <c r="D25" t="s">
        <v>18</v>
      </c>
      <c r="H25" s="1" t="s">
        <v>10</v>
      </c>
      <c r="I25" s="56">
        <v>1</v>
      </c>
      <c r="J25" s="56">
        <v>1</v>
      </c>
      <c r="K25" s="56"/>
      <c r="M25" s="57">
        <f t="shared" si="1"/>
        <v>3559350.037124441</v>
      </c>
      <c r="N25" s="57"/>
      <c r="O25" s="57"/>
      <c r="Q25" s="57">
        <v>3559350.037124441</v>
      </c>
      <c r="R25" s="57"/>
      <c r="S25" s="57"/>
      <c r="T25" s="6"/>
    </row>
    <row r="26" spans="2:20" customFormat="1" ht="15" customHeight="1" x14ac:dyDescent="0.45">
      <c r="D26" t="s">
        <v>19</v>
      </c>
      <c r="H26" s="1" t="s">
        <v>10</v>
      </c>
      <c r="I26" s="56">
        <v>1</v>
      </c>
      <c r="J26" s="56">
        <v>1</v>
      </c>
      <c r="K26" s="56"/>
      <c r="M26" s="57">
        <f t="shared" si="1"/>
        <v>231219.69500000001</v>
      </c>
      <c r="N26" s="57"/>
      <c r="O26" s="57"/>
      <c r="Q26" s="57">
        <v>231219.69500000001</v>
      </c>
      <c r="R26" s="57"/>
      <c r="S26" s="57"/>
      <c r="T26" s="6"/>
    </row>
    <row r="27" spans="2:20" customFormat="1" ht="15" customHeight="1" x14ac:dyDescent="0.45">
      <c r="D27" t="s">
        <v>21</v>
      </c>
      <c r="H27" s="1" t="s">
        <v>10</v>
      </c>
      <c r="I27" s="56">
        <v>1</v>
      </c>
      <c r="J27" s="56">
        <v>1</v>
      </c>
      <c r="K27" s="56"/>
      <c r="M27" s="57">
        <f t="shared" si="1"/>
        <v>500000</v>
      </c>
      <c r="N27" s="57"/>
      <c r="O27" s="57"/>
      <c r="Q27" s="57">
        <v>500000</v>
      </c>
      <c r="R27" s="57"/>
      <c r="S27" s="57"/>
      <c r="T27" s="6"/>
    </row>
    <row r="28" spans="2:20" customFormat="1" ht="15" customHeight="1" x14ac:dyDescent="0.45">
      <c r="B28" s="9" t="s">
        <v>22</v>
      </c>
      <c r="C28" s="13"/>
      <c r="D28" s="13"/>
      <c r="E28" s="13"/>
      <c r="F28" s="13"/>
      <c r="G28" s="13"/>
      <c r="H28" s="14"/>
      <c r="I28" s="15"/>
      <c r="J28" s="15"/>
      <c r="K28" s="15"/>
      <c r="L28" s="15"/>
      <c r="M28" s="15"/>
      <c r="N28" s="15"/>
      <c r="O28" s="15"/>
      <c r="P28" s="15"/>
      <c r="Q28" s="54">
        <f>Q29+Q38</f>
        <v>17600000</v>
      </c>
      <c r="R28" s="54"/>
      <c r="S28" s="54"/>
      <c r="T28" s="6"/>
    </row>
    <row r="29" spans="2:20" customFormat="1" ht="15" customHeight="1" x14ac:dyDescent="0.45">
      <c r="C29" t="s">
        <v>23</v>
      </c>
      <c r="H29" s="12" t="s">
        <v>24</v>
      </c>
      <c r="I29" s="52">
        <v>8</v>
      </c>
      <c r="J29" s="52"/>
      <c r="K29" s="52"/>
      <c r="L29" s="11"/>
      <c r="M29" s="53">
        <v>2200000</v>
      </c>
      <c r="N29" s="53"/>
      <c r="O29" s="53"/>
      <c r="P29" s="11"/>
      <c r="Q29" s="53">
        <f>I29*M29</f>
        <v>17600000</v>
      </c>
      <c r="R29" s="53"/>
      <c r="S29" s="53"/>
      <c r="T29" s="6"/>
    </row>
    <row r="30" spans="2:20" customFormat="1" ht="15" customHeight="1" x14ac:dyDescent="0.45">
      <c r="B30" s="9" t="s">
        <v>25</v>
      </c>
      <c r="C30" s="13"/>
      <c r="D30" s="13"/>
      <c r="E30" s="13"/>
      <c r="F30" s="13"/>
      <c r="G30" s="13"/>
      <c r="H30" s="14"/>
      <c r="I30" s="15"/>
      <c r="J30" s="15"/>
      <c r="K30" s="15"/>
      <c r="L30" s="15"/>
      <c r="M30" s="15"/>
      <c r="N30" s="15"/>
      <c r="O30" s="15"/>
      <c r="P30" s="15"/>
      <c r="Q30" s="54">
        <f>Q31+Q40+Q50+Q53</f>
        <v>181000000</v>
      </c>
      <c r="R30" s="54"/>
      <c r="S30" s="54"/>
      <c r="T30" s="6"/>
    </row>
    <row r="31" spans="2:20" customFormat="1" ht="15" customHeight="1" x14ac:dyDescent="0.45">
      <c r="C31" s="11" t="s">
        <v>26</v>
      </c>
      <c r="H31" s="12" t="s">
        <v>10</v>
      </c>
      <c r="I31" s="52">
        <v>8</v>
      </c>
      <c r="J31" s="52"/>
      <c r="K31" s="52"/>
      <c r="L31" s="11"/>
      <c r="M31" s="53">
        <v>4800000</v>
      </c>
      <c r="N31" s="53"/>
      <c r="O31" s="53"/>
      <c r="P31" s="11"/>
      <c r="Q31" s="53">
        <f>I31*M31</f>
        <v>38400000</v>
      </c>
      <c r="R31" s="53"/>
      <c r="S31" s="53"/>
      <c r="T31" s="6"/>
    </row>
    <row r="32" spans="2:20" customFormat="1" ht="15" customHeight="1" x14ac:dyDescent="0.45">
      <c r="D32" t="s">
        <v>27</v>
      </c>
      <c r="H32" s="1"/>
      <c r="M32" s="1"/>
      <c r="N32" s="1"/>
      <c r="T32" s="6"/>
    </row>
    <row r="33" spans="3:20" customFormat="1" ht="15" customHeight="1" x14ac:dyDescent="0.45">
      <c r="D33" t="s">
        <v>28</v>
      </c>
      <c r="H33" s="1"/>
      <c r="M33" s="1"/>
      <c r="N33" s="1"/>
      <c r="T33" s="6"/>
    </row>
    <row r="34" spans="3:20" customFormat="1" ht="15" customHeight="1" x14ac:dyDescent="0.45">
      <c r="D34" t="s">
        <v>29</v>
      </c>
      <c r="H34" s="1"/>
      <c r="M34" s="1"/>
      <c r="N34" s="1"/>
      <c r="T34" s="6"/>
    </row>
    <row r="35" spans="3:20" customFormat="1" ht="15" customHeight="1" x14ac:dyDescent="0.45">
      <c r="D35" t="s">
        <v>30</v>
      </c>
      <c r="H35" s="1"/>
      <c r="M35" s="1"/>
      <c r="N35" s="1"/>
      <c r="T35" s="6"/>
    </row>
    <row r="36" spans="3:20" customFormat="1" ht="15" customHeight="1" x14ac:dyDescent="0.45">
      <c r="D36" t="s">
        <v>31</v>
      </c>
      <c r="H36" s="1"/>
      <c r="M36" s="1"/>
      <c r="N36" s="1"/>
      <c r="T36" s="6"/>
    </row>
    <row r="37" spans="3:20" customFormat="1" ht="15" customHeight="1" x14ac:dyDescent="0.45">
      <c r="D37" t="s">
        <v>32</v>
      </c>
      <c r="H37" s="1"/>
      <c r="M37" s="1"/>
      <c r="N37" s="1"/>
      <c r="T37" s="6"/>
    </row>
    <row r="38" spans="3:20" customFormat="1" ht="15" customHeight="1" x14ac:dyDescent="0.45">
      <c r="D38" t="s">
        <v>33</v>
      </c>
      <c r="H38" s="1"/>
      <c r="M38" s="1"/>
      <c r="N38" s="1"/>
      <c r="T38" s="6"/>
    </row>
    <row r="39" spans="3:20" customFormat="1" ht="15" customHeight="1" x14ac:dyDescent="0.45">
      <c r="D39" t="s">
        <v>34</v>
      </c>
      <c r="H39" s="1"/>
      <c r="M39" s="1"/>
      <c r="N39" s="1"/>
      <c r="T39" s="6"/>
    </row>
    <row r="40" spans="3:20" customFormat="1" ht="15" customHeight="1" x14ac:dyDescent="0.45">
      <c r="C40" s="11" t="s">
        <v>35</v>
      </c>
      <c r="H40" s="12" t="s">
        <v>10</v>
      </c>
      <c r="I40" s="52">
        <v>1</v>
      </c>
      <c r="J40" s="52"/>
      <c r="K40" s="52"/>
      <c r="L40" s="11"/>
      <c r="M40" s="53">
        <v>84900000</v>
      </c>
      <c r="N40" s="53"/>
      <c r="O40" s="53"/>
      <c r="P40" s="11"/>
      <c r="Q40" s="53">
        <f>I40*M40</f>
        <v>84900000</v>
      </c>
      <c r="R40" s="53"/>
      <c r="S40" s="53"/>
      <c r="T40" s="6"/>
    </row>
    <row r="41" spans="3:20" customFormat="1" ht="15" customHeight="1" x14ac:dyDescent="0.45">
      <c r="D41" t="s">
        <v>36</v>
      </c>
      <c r="H41" s="1"/>
      <c r="M41" s="1"/>
      <c r="N41" s="1"/>
      <c r="T41" s="6"/>
    </row>
    <row r="42" spans="3:20" customFormat="1" ht="15" customHeight="1" x14ac:dyDescent="0.45">
      <c r="D42" t="s">
        <v>37</v>
      </c>
      <c r="H42" s="1"/>
      <c r="M42" s="1"/>
      <c r="N42" s="1"/>
      <c r="T42" s="6"/>
    </row>
    <row r="43" spans="3:20" customFormat="1" ht="15" customHeight="1" x14ac:dyDescent="0.45">
      <c r="D43" t="s">
        <v>38</v>
      </c>
      <c r="H43" s="1"/>
      <c r="M43" s="1"/>
      <c r="N43" s="1"/>
      <c r="T43" s="6"/>
    </row>
    <row r="44" spans="3:20" customFormat="1" ht="15" customHeight="1" x14ac:dyDescent="0.45">
      <c r="D44" t="s">
        <v>39</v>
      </c>
      <c r="H44" s="1"/>
      <c r="M44" s="1"/>
      <c r="N44" s="1"/>
      <c r="T44" s="6"/>
    </row>
    <row r="45" spans="3:20" customFormat="1" ht="15" customHeight="1" x14ac:dyDescent="0.45">
      <c r="D45" t="s">
        <v>40</v>
      </c>
      <c r="H45" s="1"/>
      <c r="M45" s="1"/>
      <c r="N45" s="1"/>
      <c r="T45" s="6"/>
    </row>
    <row r="46" spans="3:20" customFormat="1" ht="15" customHeight="1" x14ac:dyDescent="0.45">
      <c r="D46" t="s">
        <v>41</v>
      </c>
      <c r="H46" s="1"/>
      <c r="M46" s="1"/>
      <c r="N46" s="1"/>
      <c r="T46" s="6"/>
    </row>
    <row r="47" spans="3:20" customFormat="1" ht="15" customHeight="1" x14ac:dyDescent="0.45">
      <c r="D47" t="s">
        <v>42</v>
      </c>
      <c r="H47" s="1"/>
      <c r="M47" s="1"/>
      <c r="N47" s="1"/>
      <c r="T47" s="6"/>
    </row>
    <row r="48" spans="3:20" customFormat="1" ht="15" customHeight="1" x14ac:dyDescent="0.45">
      <c r="D48" t="s">
        <v>43</v>
      </c>
      <c r="H48" s="1"/>
      <c r="M48" s="1"/>
      <c r="N48" s="1"/>
      <c r="T48" s="6"/>
    </row>
    <row r="49" spans="2:20" customFormat="1" ht="15" customHeight="1" x14ac:dyDescent="0.45">
      <c r="D49" t="s">
        <v>44</v>
      </c>
      <c r="H49" s="1"/>
      <c r="M49" s="1"/>
      <c r="N49" s="1"/>
      <c r="T49" s="6"/>
    </row>
    <row r="50" spans="2:20" customFormat="1" ht="15" customHeight="1" x14ac:dyDescent="0.45">
      <c r="C50" s="11" t="s">
        <v>45</v>
      </c>
      <c r="H50" s="12" t="s">
        <v>10</v>
      </c>
      <c r="I50" s="52">
        <v>1</v>
      </c>
      <c r="J50" s="52"/>
      <c r="K50" s="52"/>
      <c r="L50" s="11"/>
      <c r="M50" s="53">
        <v>30700000</v>
      </c>
      <c r="N50" s="53"/>
      <c r="O50" s="53"/>
      <c r="P50" s="11"/>
      <c r="Q50" s="53">
        <f>I50*M50</f>
        <v>30700000</v>
      </c>
      <c r="R50" s="53"/>
      <c r="S50" s="53"/>
      <c r="T50" s="6"/>
    </row>
    <row r="51" spans="2:20" customFormat="1" ht="15" customHeight="1" x14ac:dyDescent="0.45">
      <c r="D51" t="s">
        <v>46</v>
      </c>
      <c r="H51" s="1"/>
      <c r="M51" s="1"/>
      <c r="N51" s="1"/>
      <c r="T51" s="6"/>
    </row>
    <row r="52" spans="2:20" customFormat="1" ht="15" customHeight="1" x14ac:dyDescent="0.45">
      <c r="D52" t="s">
        <v>47</v>
      </c>
      <c r="H52" s="1"/>
      <c r="M52" s="1"/>
      <c r="N52" s="1"/>
      <c r="T52" s="6"/>
    </row>
    <row r="53" spans="2:20" customFormat="1" ht="15" customHeight="1" x14ac:dyDescent="0.45">
      <c r="C53" s="11" t="s">
        <v>48</v>
      </c>
      <c r="H53" s="12" t="s">
        <v>10</v>
      </c>
      <c r="I53" s="52">
        <v>1</v>
      </c>
      <c r="J53" s="52"/>
      <c r="K53" s="52"/>
      <c r="L53" s="11"/>
      <c r="M53" s="53">
        <v>27000000</v>
      </c>
      <c r="N53" s="53"/>
      <c r="O53" s="53"/>
      <c r="P53" s="11"/>
      <c r="Q53" s="53">
        <f>I53*M53</f>
        <v>27000000</v>
      </c>
      <c r="R53" s="53"/>
      <c r="S53" s="53"/>
      <c r="T53" s="6"/>
    </row>
    <row r="54" spans="2:20" customFormat="1" ht="15" customHeight="1" x14ac:dyDescent="0.45">
      <c r="D54" t="s">
        <v>49</v>
      </c>
      <c r="H54" s="1"/>
      <c r="M54" s="1"/>
      <c r="N54" s="1"/>
      <c r="T54" s="6"/>
    </row>
    <row r="55" spans="2:20" customFormat="1" ht="15" customHeight="1" x14ac:dyDescent="0.45">
      <c r="D55" t="s">
        <v>50</v>
      </c>
      <c r="H55" s="1"/>
      <c r="M55" s="1"/>
      <c r="N55" s="1"/>
      <c r="T55" s="6"/>
    </row>
    <row r="56" spans="2:20" customFormat="1" ht="15" customHeight="1" x14ac:dyDescent="0.45">
      <c r="D56" t="s">
        <v>51</v>
      </c>
      <c r="H56" s="1"/>
      <c r="M56" s="1"/>
      <c r="N56" s="1"/>
      <c r="T56" s="6"/>
    </row>
    <row r="57" spans="2:20" customFormat="1" ht="15" customHeight="1" x14ac:dyDescent="0.45">
      <c r="D57" t="s">
        <v>52</v>
      </c>
      <c r="H57" s="1"/>
      <c r="M57" s="1"/>
      <c r="N57" s="1"/>
      <c r="T57" s="6"/>
    </row>
    <row r="58" spans="2:20" customFormat="1" ht="15" customHeight="1" x14ac:dyDescent="0.45">
      <c r="D58" t="s">
        <v>53</v>
      </c>
      <c r="H58" s="1"/>
      <c r="M58" s="1"/>
      <c r="N58" s="1"/>
      <c r="T58" s="6"/>
    </row>
    <row r="59" spans="2:20" customFormat="1" ht="15" customHeight="1" x14ac:dyDescent="0.45">
      <c r="D59" t="s">
        <v>54</v>
      </c>
      <c r="H59" s="1"/>
      <c r="M59" s="1"/>
      <c r="N59" s="1"/>
      <c r="T59" s="6"/>
    </row>
    <row r="60" spans="2:20" customFormat="1" ht="15" customHeight="1" x14ac:dyDescent="0.45">
      <c r="B60" s="9" t="s">
        <v>55</v>
      </c>
      <c r="C60" s="13"/>
      <c r="D60" s="13"/>
      <c r="E60" s="13"/>
      <c r="F60" s="13"/>
      <c r="G60" s="13"/>
      <c r="H60" s="14"/>
      <c r="I60" s="15"/>
      <c r="J60" s="15"/>
      <c r="K60" s="15"/>
      <c r="L60" s="15"/>
      <c r="M60" s="15"/>
      <c r="N60" s="15"/>
      <c r="O60" s="15"/>
      <c r="P60" s="15"/>
      <c r="Q60" s="54">
        <v>22300000</v>
      </c>
      <c r="R60" s="54"/>
      <c r="S60" s="54"/>
      <c r="T60" s="6"/>
    </row>
    <row r="61" spans="2:20" customFormat="1" ht="15" customHeight="1" x14ac:dyDescent="0.45">
      <c r="B61" s="9" t="s">
        <v>56</v>
      </c>
      <c r="C61" s="13"/>
      <c r="D61" s="13"/>
      <c r="E61" s="13"/>
      <c r="F61" s="13"/>
      <c r="G61" s="13"/>
      <c r="H61" s="14"/>
      <c r="I61" s="15"/>
      <c r="J61" s="15"/>
      <c r="K61" s="15"/>
      <c r="L61" s="15"/>
      <c r="M61" s="15"/>
      <c r="N61" s="15"/>
      <c r="O61" s="15"/>
      <c r="P61" s="15"/>
      <c r="Q61" s="54">
        <v>9600000</v>
      </c>
      <c r="R61" s="54"/>
      <c r="S61" s="54"/>
      <c r="T61" s="6"/>
    </row>
    <row r="62" spans="2:20" customFormat="1" ht="15" customHeight="1" x14ac:dyDescent="0.45">
      <c r="B62" s="9" t="s">
        <v>57</v>
      </c>
      <c r="C62" s="13"/>
      <c r="D62" s="13"/>
      <c r="E62" s="13"/>
      <c r="F62" s="13"/>
      <c r="G62" s="13"/>
      <c r="H62" s="14"/>
      <c r="I62" s="15"/>
      <c r="J62" s="15"/>
      <c r="K62" s="15"/>
      <c r="L62" s="15"/>
      <c r="M62" s="15"/>
      <c r="N62" s="15"/>
      <c r="O62" s="15"/>
      <c r="P62" s="15"/>
      <c r="Q62" s="54">
        <v>18000000</v>
      </c>
      <c r="R62" s="54"/>
      <c r="S62" s="54"/>
      <c r="T62" s="6"/>
    </row>
    <row r="63" spans="2:20" customFormat="1" ht="15" customHeight="1" x14ac:dyDescent="0.45">
      <c r="B63" s="9" t="s">
        <v>78</v>
      </c>
      <c r="C63" s="13"/>
      <c r="D63" s="13"/>
      <c r="E63" s="13"/>
      <c r="F63" s="13"/>
      <c r="G63" s="13"/>
      <c r="H63" s="14"/>
      <c r="I63" s="15"/>
      <c r="J63" s="15"/>
      <c r="K63" s="15"/>
      <c r="L63" s="15"/>
      <c r="M63" s="15"/>
      <c r="N63" s="15"/>
      <c r="O63" s="15"/>
      <c r="P63" s="15"/>
      <c r="Q63" s="54">
        <v>15000000</v>
      </c>
      <c r="R63" s="54"/>
      <c r="S63" s="54"/>
      <c r="T63" s="6"/>
    </row>
    <row r="64" spans="2:20" customFormat="1" ht="15" customHeight="1" x14ac:dyDescent="0.45">
      <c r="B64" s="9" t="s">
        <v>80</v>
      </c>
      <c r="C64" s="13"/>
      <c r="D64" s="13"/>
      <c r="E64" s="13"/>
      <c r="F64" s="13"/>
      <c r="G64" s="13"/>
      <c r="H64" s="14"/>
      <c r="I64" s="15"/>
      <c r="J64" s="15"/>
      <c r="K64" s="15"/>
      <c r="L64" s="15"/>
      <c r="M64" s="15"/>
      <c r="N64" s="15"/>
      <c r="O64" s="15"/>
      <c r="P64" s="15"/>
      <c r="Q64" s="54">
        <v>5000000</v>
      </c>
      <c r="R64" s="54"/>
      <c r="S64" s="54"/>
      <c r="T64" s="6"/>
    </row>
    <row r="65" spans="8:20" customFormat="1" ht="15" customHeight="1" x14ac:dyDescent="0.45">
      <c r="H65" s="1"/>
      <c r="M65" s="1"/>
      <c r="N65" s="1"/>
      <c r="T65" s="6"/>
    </row>
    <row r="66" spans="8:20" customFormat="1" ht="15" customHeight="1" x14ac:dyDescent="0.45">
      <c r="H66" s="1"/>
      <c r="M66" s="1"/>
      <c r="N66" s="1"/>
      <c r="T66" s="6"/>
    </row>
    <row r="67" spans="8:20" customFormat="1" ht="15" customHeight="1" x14ac:dyDescent="0.45">
      <c r="H67" s="1"/>
      <c r="M67" s="1"/>
      <c r="N67" s="1"/>
      <c r="T67" s="6"/>
    </row>
    <row r="68" spans="8:20" customFormat="1" ht="15" customHeight="1" x14ac:dyDescent="0.45">
      <c r="H68" s="1"/>
      <c r="M68" s="1"/>
      <c r="N68" s="1"/>
      <c r="T68" s="6"/>
    </row>
    <row r="69" spans="8:20" customFormat="1" ht="15" customHeight="1" x14ac:dyDescent="0.45">
      <c r="H69" s="1"/>
      <c r="M69" s="1"/>
      <c r="N69" s="1"/>
      <c r="T69" s="6"/>
    </row>
    <row r="70" spans="8:20" customFormat="1" ht="15" customHeight="1" x14ac:dyDescent="0.45">
      <c r="H70" s="1"/>
      <c r="M70" s="1"/>
      <c r="N70" s="1"/>
      <c r="T70" s="6"/>
    </row>
    <row r="71" spans="8:20" customFormat="1" ht="15" customHeight="1" x14ac:dyDescent="0.45">
      <c r="H71" s="1"/>
      <c r="M71" s="1"/>
      <c r="N71" s="1"/>
      <c r="T71" s="6"/>
    </row>
    <row r="72" spans="8:20" customFormat="1" ht="15" customHeight="1" x14ac:dyDescent="0.45">
      <c r="H72" s="1"/>
      <c r="M72" s="1"/>
      <c r="N72" s="1"/>
      <c r="T72" s="6"/>
    </row>
    <row r="73" spans="8:20" customFormat="1" ht="15" customHeight="1" x14ac:dyDescent="0.45">
      <c r="H73" s="1"/>
      <c r="M73" s="1"/>
      <c r="N73" s="1"/>
      <c r="T73" s="6"/>
    </row>
    <row r="74" spans="8:20" customFormat="1" ht="15" customHeight="1" x14ac:dyDescent="0.45">
      <c r="H74" s="1"/>
      <c r="M74" s="1"/>
      <c r="N74" s="1"/>
      <c r="T74" s="6"/>
    </row>
    <row r="75" spans="8:20" customFormat="1" ht="15" customHeight="1" x14ac:dyDescent="0.45">
      <c r="H75" s="1"/>
      <c r="M75" s="1"/>
      <c r="N75" s="1"/>
      <c r="T75" s="6"/>
    </row>
    <row r="76" spans="8:20" customFormat="1" ht="15" customHeight="1" x14ac:dyDescent="0.45">
      <c r="H76" s="1"/>
      <c r="M76" s="1"/>
      <c r="N76" s="1"/>
      <c r="T76" s="6"/>
    </row>
    <row r="77" spans="8:20" customFormat="1" ht="15" customHeight="1" x14ac:dyDescent="0.45">
      <c r="H77" s="1"/>
      <c r="M77" s="1"/>
      <c r="N77" s="1"/>
      <c r="T77" s="6"/>
    </row>
    <row r="78" spans="8:20" customFormat="1" ht="15" customHeight="1" x14ac:dyDescent="0.45">
      <c r="H78" s="1"/>
      <c r="M78" s="1"/>
      <c r="N78" s="1"/>
      <c r="T78" s="6"/>
    </row>
    <row r="79" spans="8:20" customFormat="1" ht="15" customHeight="1" x14ac:dyDescent="0.45">
      <c r="H79" s="1"/>
      <c r="M79" s="1"/>
      <c r="N79" s="1"/>
      <c r="T79" s="6"/>
    </row>
    <row r="80" spans="8:20" customFormat="1" ht="15" customHeight="1" x14ac:dyDescent="0.45">
      <c r="H80" s="1"/>
      <c r="M80" s="1"/>
      <c r="N80" s="1"/>
      <c r="T80" s="6"/>
    </row>
    <row r="81" spans="8:20" customFormat="1" ht="15" customHeight="1" x14ac:dyDescent="0.45">
      <c r="H81" s="1"/>
      <c r="M81" s="1"/>
      <c r="N81" s="1"/>
      <c r="T81" s="6"/>
    </row>
    <row r="82" spans="8:20" customFormat="1" ht="15" customHeight="1" x14ac:dyDescent="0.45">
      <c r="H82" s="1"/>
      <c r="M82" s="1"/>
      <c r="N82" s="1"/>
      <c r="T82" s="6"/>
    </row>
    <row r="83" spans="8:20" customFormat="1" ht="15" customHeight="1" x14ac:dyDescent="0.45">
      <c r="H83" s="1"/>
      <c r="M83" s="1"/>
      <c r="N83" s="1"/>
      <c r="T83" s="6"/>
    </row>
    <row r="84" spans="8:20" customFormat="1" ht="15" customHeight="1" x14ac:dyDescent="0.45">
      <c r="H84" s="1"/>
      <c r="M84" s="1"/>
      <c r="N84" s="1"/>
      <c r="T84" s="6"/>
    </row>
    <row r="85" spans="8:20" customFormat="1" ht="15" customHeight="1" x14ac:dyDescent="0.45">
      <c r="H85" s="1"/>
      <c r="M85" s="1"/>
      <c r="N85" s="1"/>
      <c r="T85" s="6"/>
    </row>
    <row r="86" spans="8:20" customFormat="1" ht="15" customHeight="1" x14ac:dyDescent="0.45">
      <c r="H86" s="1"/>
      <c r="M86" s="1"/>
      <c r="N86" s="1"/>
      <c r="T86" s="6"/>
    </row>
    <row r="87" spans="8:20" customFormat="1" ht="15" customHeight="1" x14ac:dyDescent="0.45">
      <c r="H87" s="1"/>
      <c r="M87" s="1"/>
      <c r="N87" s="1"/>
      <c r="T87" s="6"/>
    </row>
    <row r="88" spans="8:20" customFormat="1" ht="15" customHeight="1" x14ac:dyDescent="0.45">
      <c r="H88" s="1"/>
      <c r="M88" s="1"/>
      <c r="N88" s="1"/>
      <c r="T88" s="6"/>
    </row>
    <row r="89" spans="8:20" customFormat="1" ht="15" customHeight="1" x14ac:dyDescent="0.45">
      <c r="H89" s="1"/>
      <c r="M89" s="1"/>
      <c r="N89" s="1"/>
      <c r="T89" s="6"/>
    </row>
    <row r="90" spans="8:20" customFormat="1" ht="15" customHeight="1" x14ac:dyDescent="0.45">
      <c r="H90" s="1"/>
      <c r="M90" s="1"/>
      <c r="N90" s="1"/>
      <c r="T90" s="6"/>
    </row>
    <row r="91" spans="8:20" customFormat="1" ht="15" customHeight="1" x14ac:dyDescent="0.45">
      <c r="H91" s="1"/>
      <c r="M91" s="1"/>
      <c r="N91" s="1"/>
      <c r="T91" s="6"/>
    </row>
    <row r="92" spans="8:20" customFormat="1" ht="15" customHeight="1" x14ac:dyDescent="0.45">
      <c r="H92" s="1"/>
      <c r="M92" s="1"/>
      <c r="N92" s="1"/>
      <c r="T92" s="6"/>
    </row>
    <row r="93" spans="8:20" customFormat="1" ht="15" customHeight="1" x14ac:dyDescent="0.45">
      <c r="H93" s="1"/>
      <c r="M93" s="1"/>
      <c r="N93" s="1"/>
      <c r="T93" s="6"/>
    </row>
    <row r="94" spans="8:20" customFormat="1" ht="15" customHeight="1" x14ac:dyDescent="0.45">
      <c r="H94" s="1"/>
      <c r="M94" s="1"/>
      <c r="N94" s="1"/>
      <c r="T94" s="6"/>
    </row>
    <row r="95" spans="8:20" customFormat="1" ht="15" customHeight="1" x14ac:dyDescent="0.45">
      <c r="H95" s="1"/>
      <c r="M95" s="1"/>
      <c r="N95" s="1"/>
      <c r="T95" s="6"/>
    </row>
    <row r="96" spans="8:20" customFormat="1" ht="15" customHeight="1" x14ac:dyDescent="0.45">
      <c r="H96" s="1"/>
      <c r="M96" s="1"/>
      <c r="N96" s="1"/>
      <c r="T96" s="6"/>
    </row>
    <row r="97" spans="8:20" customFormat="1" ht="15" customHeight="1" x14ac:dyDescent="0.45">
      <c r="H97" s="1"/>
      <c r="M97" s="1"/>
      <c r="N97" s="1"/>
      <c r="T97" s="6"/>
    </row>
    <row r="98" spans="8:20" customFormat="1" ht="15" customHeight="1" x14ac:dyDescent="0.45">
      <c r="H98" s="1"/>
      <c r="M98" s="1"/>
      <c r="N98" s="1"/>
      <c r="T98" s="6"/>
    </row>
    <row r="99" spans="8:20" customFormat="1" ht="15" customHeight="1" x14ac:dyDescent="0.45">
      <c r="H99" s="1"/>
      <c r="M99" s="1"/>
      <c r="N99" s="1"/>
      <c r="T99" s="6"/>
    </row>
    <row r="100" spans="8:20" customFormat="1" ht="15" customHeight="1" x14ac:dyDescent="0.45">
      <c r="H100" s="1"/>
      <c r="M100" s="1"/>
      <c r="N100" s="1"/>
      <c r="T100" s="6"/>
    </row>
    <row r="101" spans="8:20" customFormat="1" ht="15" customHeight="1" x14ac:dyDescent="0.45">
      <c r="H101" s="1"/>
      <c r="M101" s="1"/>
      <c r="N101" s="1"/>
      <c r="T101" s="6"/>
    </row>
    <row r="102" spans="8:20" customFormat="1" ht="15" customHeight="1" x14ac:dyDescent="0.45">
      <c r="H102" s="1"/>
      <c r="M102" s="1"/>
      <c r="N102" s="1"/>
      <c r="T102" s="6"/>
    </row>
    <row r="103" spans="8:20" customFormat="1" ht="15" customHeight="1" x14ac:dyDescent="0.45">
      <c r="H103" s="1"/>
      <c r="M103" s="1"/>
      <c r="N103" s="1"/>
      <c r="T103" s="6"/>
    </row>
    <row r="104" spans="8:20" customFormat="1" ht="15" customHeight="1" x14ac:dyDescent="0.45">
      <c r="H104" s="1"/>
      <c r="M104" s="1"/>
      <c r="N104" s="1"/>
      <c r="T104" s="6"/>
    </row>
    <row r="105" spans="8:20" customFormat="1" ht="15" customHeight="1" x14ac:dyDescent="0.45">
      <c r="H105" s="1"/>
      <c r="M105" s="1"/>
      <c r="N105" s="1"/>
      <c r="T105" s="6"/>
    </row>
    <row r="106" spans="8:20" customFormat="1" ht="15" customHeight="1" x14ac:dyDescent="0.45">
      <c r="H106" s="1"/>
      <c r="M106" s="1"/>
      <c r="N106" s="1"/>
      <c r="T106" s="6"/>
    </row>
    <row r="107" spans="8:20" customFormat="1" ht="15" customHeight="1" x14ac:dyDescent="0.45">
      <c r="H107" s="1"/>
      <c r="M107" s="1"/>
      <c r="N107" s="1"/>
      <c r="T107" s="6"/>
    </row>
    <row r="108" spans="8:20" customFormat="1" ht="15" customHeight="1" x14ac:dyDescent="0.45">
      <c r="H108" s="1"/>
      <c r="M108" s="1"/>
      <c r="N108" s="1"/>
      <c r="T108" s="6"/>
    </row>
    <row r="109" spans="8:20" customFormat="1" ht="15" customHeight="1" x14ac:dyDescent="0.45">
      <c r="H109" s="1"/>
      <c r="M109" s="1"/>
      <c r="N109" s="1"/>
      <c r="T109" s="6"/>
    </row>
    <row r="110" spans="8:20" customFormat="1" ht="15" customHeight="1" x14ac:dyDescent="0.45">
      <c r="H110" s="1"/>
      <c r="M110" s="1"/>
      <c r="N110" s="1"/>
      <c r="T110" s="6"/>
    </row>
    <row r="111" spans="8:20" customFormat="1" ht="15" customHeight="1" x14ac:dyDescent="0.45">
      <c r="H111" s="1"/>
      <c r="M111" s="1"/>
      <c r="N111" s="1"/>
      <c r="T111" s="6"/>
    </row>
    <row r="112" spans="8:20" customFormat="1" ht="15" customHeight="1" x14ac:dyDescent="0.45">
      <c r="H112" s="1"/>
      <c r="M112" s="1"/>
      <c r="N112" s="1"/>
      <c r="T112" s="6"/>
    </row>
    <row r="113" spans="8:20" customFormat="1" ht="15" customHeight="1" x14ac:dyDescent="0.45">
      <c r="H113" s="1"/>
      <c r="M113" s="1"/>
      <c r="N113" s="1"/>
      <c r="T113" s="6"/>
    </row>
    <row r="114" spans="8:20" customFormat="1" ht="15" customHeight="1" x14ac:dyDescent="0.45">
      <c r="H114" s="1"/>
      <c r="M114" s="1"/>
      <c r="N114" s="1"/>
      <c r="T114" s="6"/>
    </row>
    <row r="115" spans="8:20" customFormat="1" ht="15" customHeight="1" x14ac:dyDescent="0.45">
      <c r="H115" s="1"/>
      <c r="M115" s="1"/>
      <c r="N115" s="1"/>
      <c r="T115" s="6"/>
    </row>
    <row r="116" spans="8:20" customFormat="1" ht="15" customHeight="1" x14ac:dyDescent="0.45">
      <c r="H116" s="1"/>
      <c r="M116" s="1"/>
      <c r="N116" s="1"/>
      <c r="T116" s="6"/>
    </row>
    <row r="117" spans="8:20" customFormat="1" ht="15" customHeight="1" x14ac:dyDescent="0.45">
      <c r="H117" s="1"/>
      <c r="M117" s="1"/>
      <c r="N117" s="1"/>
      <c r="T117" s="6"/>
    </row>
    <row r="118" spans="8:20" customFormat="1" ht="15" customHeight="1" x14ac:dyDescent="0.45">
      <c r="H118" s="1"/>
      <c r="M118" s="1"/>
      <c r="N118" s="1"/>
      <c r="T118" s="6"/>
    </row>
    <row r="119" spans="8:20" customFormat="1" ht="15" customHeight="1" x14ac:dyDescent="0.45">
      <c r="H119" s="1"/>
      <c r="M119" s="1"/>
      <c r="N119" s="1"/>
      <c r="T119" s="6"/>
    </row>
    <row r="120" spans="8:20" customFormat="1" ht="15" customHeight="1" x14ac:dyDescent="0.45">
      <c r="H120" s="1"/>
      <c r="M120" s="1"/>
      <c r="N120" s="1"/>
      <c r="T120" s="6"/>
    </row>
    <row r="121" spans="8:20" customFormat="1" ht="15" customHeight="1" x14ac:dyDescent="0.45">
      <c r="H121" s="1"/>
      <c r="M121" s="1"/>
      <c r="N121" s="1"/>
      <c r="T121" s="6"/>
    </row>
    <row r="122" spans="8:20" customFormat="1" ht="15" customHeight="1" x14ac:dyDescent="0.45">
      <c r="H122" s="1"/>
      <c r="M122" s="1"/>
      <c r="N122" s="1"/>
      <c r="T122" s="6"/>
    </row>
    <row r="123" spans="8:20" customFormat="1" ht="15" customHeight="1" x14ac:dyDescent="0.45">
      <c r="H123" s="1"/>
      <c r="M123" s="1"/>
      <c r="N123" s="1"/>
      <c r="T123" s="6"/>
    </row>
    <row r="124" spans="8:20" customFormat="1" ht="15" customHeight="1" x14ac:dyDescent="0.45">
      <c r="H124" s="1"/>
      <c r="M124" s="1"/>
      <c r="N124" s="1"/>
      <c r="T124" s="6"/>
    </row>
    <row r="125" spans="8:20" customFormat="1" ht="15" customHeight="1" x14ac:dyDescent="0.45">
      <c r="H125" s="1"/>
      <c r="M125" s="1"/>
      <c r="N125" s="1"/>
      <c r="T125" s="6"/>
    </row>
    <row r="126" spans="8:20" customFormat="1" ht="15" customHeight="1" x14ac:dyDescent="0.45">
      <c r="H126" s="1"/>
      <c r="M126" s="1"/>
      <c r="N126" s="1"/>
      <c r="T126" s="6"/>
    </row>
    <row r="127" spans="8:20" customFormat="1" ht="15" customHeight="1" x14ac:dyDescent="0.45">
      <c r="H127" s="1"/>
      <c r="M127" s="1"/>
      <c r="N127" s="1"/>
      <c r="T127" s="6"/>
    </row>
    <row r="128" spans="8:20" customFormat="1" ht="15" customHeight="1" x14ac:dyDescent="0.45">
      <c r="H128" s="1"/>
      <c r="M128" s="1"/>
      <c r="N128" s="1"/>
      <c r="T128" s="6"/>
    </row>
    <row r="129" spans="8:20" customFormat="1" ht="15" customHeight="1" x14ac:dyDescent="0.45">
      <c r="H129" s="1"/>
      <c r="M129" s="1"/>
      <c r="N129" s="1"/>
      <c r="T129" s="6"/>
    </row>
    <row r="130" spans="8:20" customFormat="1" ht="15" customHeight="1" x14ac:dyDescent="0.45">
      <c r="H130" s="1"/>
      <c r="M130" s="1"/>
      <c r="N130" s="1"/>
      <c r="T130" s="6"/>
    </row>
    <row r="131" spans="8:20" customFormat="1" ht="15" customHeight="1" x14ac:dyDescent="0.45">
      <c r="H131" s="1"/>
      <c r="M131" s="1"/>
      <c r="N131" s="1"/>
      <c r="T131" s="6"/>
    </row>
    <row r="132" spans="8:20" customFormat="1" ht="15" customHeight="1" x14ac:dyDescent="0.45">
      <c r="H132" s="1"/>
      <c r="M132" s="1"/>
      <c r="N132" s="1"/>
      <c r="T132" s="6"/>
    </row>
    <row r="133" spans="8:20" customFormat="1" ht="15" customHeight="1" x14ac:dyDescent="0.45">
      <c r="H133" s="1"/>
      <c r="M133" s="1"/>
      <c r="N133" s="1"/>
      <c r="T133" s="6"/>
    </row>
    <row r="134" spans="8:20" customFormat="1" ht="15" customHeight="1" x14ac:dyDescent="0.45">
      <c r="H134" s="1"/>
      <c r="M134" s="1"/>
      <c r="N134" s="1"/>
      <c r="T134" s="6"/>
    </row>
    <row r="135" spans="8:20" customFormat="1" ht="15" customHeight="1" x14ac:dyDescent="0.45">
      <c r="H135" s="1"/>
      <c r="M135" s="1"/>
      <c r="N135" s="1"/>
      <c r="T135" s="6"/>
    </row>
    <row r="136" spans="8:20" customFormat="1" ht="15" customHeight="1" x14ac:dyDescent="0.45">
      <c r="H136" s="1"/>
      <c r="M136" s="1"/>
      <c r="N136" s="1"/>
      <c r="T136" s="6"/>
    </row>
    <row r="137" spans="8:20" customFormat="1" ht="15" customHeight="1" x14ac:dyDescent="0.45">
      <c r="H137" s="1"/>
      <c r="M137" s="1"/>
      <c r="N137" s="1"/>
      <c r="T137" s="6"/>
    </row>
    <row r="138" spans="8:20" customFormat="1" ht="15" customHeight="1" x14ac:dyDescent="0.45">
      <c r="H138" s="1"/>
      <c r="M138" s="1"/>
      <c r="N138" s="1"/>
      <c r="T138" s="6"/>
    </row>
    <row r="139" spans="8:20" customFormat="1" ht="15" customHeight="1" x14ac:dyDescent="0.45">
      <c r="H139" s="1"/>
      <c r="M139" s="1"/>
      <c r="N139" s="1"/>
      <c r="T139" s="6"/>
    </row>
    <row r="140" spans="8:20" customFormat="1" ht="15" customHeight="1" x14ac:dyDescent="0.45">
      <c r="H140" s="1"/>
      <c r="M140" s="1"/>
      <c r="N140" s="1"/>
      <c r="T140" s="6"/>
    </row>
    <row r="141" spans="8:20" customFormat="1" ht="15" customHeight="1" x14ac:dyDescent="0.45">
      <c r="H141" s="1"/>
      <c r="M141" s="1"/>
      <c r="N141" s="1"/>
      <c r="T141" s="6"/>
    </row>
    <row r="142" spans="8:20" customFormat="1" ht="15" customHeight="1" x14ac:dyDescent="0.45">
      <c r="H142" s="1"/>
      <c r="M142" s="1"/>
      <c r="N142" s="1"/>
      <c r="T142" s="6"/>
    </row>
    <row r="143" spans="8:20" customFormat="1" ht="15" customHeight="1" x14ac:dyDescent="0.45">
      <c r="H143" s="1"/>
      <c r="M143" s="1"/>
      <c r="N143" s="1"/>
      <c r="T143" s="6"/>
    </row>
    <row r="144" spans="8:20" customFormat="1" ht="15" customHeight="1" x14ac:dyDescent="0.45">
      <c r="H144" s="1"/>
      <c r="M144" s="1"/>
      <c r="N144" s="1"/>
      <c r="T144" s="6"/>
    </row>
    <row r="145" spans="8:20" customFormat="1" ht="15" customHeight="1" x14ac:dyDescent="0.45">
      <c r="H145" s="1"/>
      <c r="M145" s="1"/>
      <c r="N145" s="1"/>
      <c r="T145" s="6"/>
    </row>
  </sheetData>
  <mergeCells count="85">
    <mergeCell ref="Q30:S30"/>
    <mergeCell ref="Q62:S62"/>
    <mergeCell ref="I40:K40"/>
    <mergeCell ref="M40:O40"/>
    <mergeCell ref="Q40:S40"/>
    <mergeCell ref="I50:K50"/>
    <mergeCell ref="M50:O50"/>
    <mergeCell ref="Q50:S50"/>
    <mergeCell ref="I53:K53"/>
    <mergeCell ref="M53:O53"/>
    <mergeCell ref="Q53:S53"/>
    <mergeCell ref="Q60:S60"/>
    <mergeCell ref="Q61:S61"/>
    <mergeCell ref="I25:K25"/>
    <mergeCell ref="M25:O25"/>
    <mergeCell ref="Q25:S25"/>
    <mergeCell ref="I31:K31"/>
    <mergeCell ref="M31:O31"/>
    <mergeCell ref="Q31:S31"/>
    <mergeCell ref="I26:K26"/>
    <mergeCell ref="M26:O26"/>
    <mergeCell ref="Q26:S26"/>
    <mergeCell ref="I27:K27"/>
    <mergeCell ref="M27:O27"/>
    <mergeCell ref="Q27:S27"/>
    <mergeCell ref="Q28:S28"/>
    <mergeCell ref="I29:K29"/>
    <mergeCell ref="M29:O29"/>
    <mergeCell ref="Q29:S29"/>
    <mergeCell ref="I23:K23"/>
    <mergeCell ref="M23:O23"/>
    <mergeCell ref="Q23:S23"/>
    <mergeCell ref="I24:K24"/>
    <mergeCell ref="M24:O24"/>
    <mergeCell ref="Q24:S24"/>
    <mergeCell ref="I21:K21"/>
    <mergeCell ref="M21:O21"/>
    <mergeCell ref="Q21:S21"/>
    <mergeCell ref="I22:K22"/>
    <mergeCell ref="M22:O22"/>
    <mergeCell ref="Q22:S22"/>
    <mergeCell ref="I19:K19"/>
    <mergeCell ref="M19:O19"/>
    <mergeCell ref="Q19:S19"/>
    <mergeCell ref="I20:K20"/>
    <mergeCell ref="M20:O20"/>
    <mergeCell ref="Q20:S20"/>
    <mergeCell ref="I17:K17"/>
    <mergeCell ref="M17:O17"/>
    <mergeCell ref="Q17:S17"/>
    <mergeCell ref="I18:K18"/>
    <mergeCell ref="M18:O18"/>
    <mergeCell ref="Q18:S18"/>
    <mergeCell ref="Q64:S64"/>
    <mergeCell ref="I6:K6"/>
    <mergeCell ref="M6:O6"/>
    <mergeCell ref="Q6:S6"/>
    <mergeCell ref="M8:O8"/>
    <mergeCell ref="Q8:S8"/>
    <mergeCell ref="I10:K10"/>
    <mergeCell ref="M10:O10"/>
    <mergeCell ref="Q10:S10"/>
    <mergeCell ref="I11:K11"/>
    <mergeCell ref="M11:O11"/>
    <mergeCell ref="Q11:S11"/>
    <mergeCell ref="I12:K12"/>
    <mergeCell ref="M12:O12"/>
    <mergeCell ref="Q12:S12"/>
    <mergeCell ref="I13:K13"/>
    <mergeCell ref="R4:S4"/>
    <mergeCell ref="I9:K9"/>
    <mergeCell ref="M9:O9"/>
    <mergeCell ref="Q9:S9"/>
    <mergeCell ref="Q63:S63"/>
    <mergeCell ref="M13:O13"/>
    <mergeCell ref="Q13:S13"/>
    <mergeCell ref="I14:K14"/>
    <mergeCell ref="M14:O14"/>
    <mergeCell ref="Q14:S14"/>
    <mergeCell ref="I15:K15"/>
    <mergeCell ref="M15:O15"/>
    <mergeCell ref="Q15:S15"/>
    <mergeCell ref="I16:K16"/>
    <mergeCell ref="M16:O16"/>
    <mergeCell ref="Q16:S16"/>
  </mergeCells>
  <hyperlinks>
    <hyperlink ref="S2" location="INDEX!A1" display="TOC" xr:uid="{FDF83426-99D9-4A89-BA1D-B4CD232BE0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84CF-86A2-4CEF-8DE1-6BB2B442DB55}">
  <dimension ref="B1:H18"/>
  <sheetViews>
    <sheetView showGridLines="0" workbookViewId="0">
      <selection activeCell="I16" sqref="I16"/>
    </sheetView>
  </sheetViews>
  <sheetFormatPr defaultColWidth="9.1328125" defaultRowHeight="12.75" x14ac:dyDescent="0.35"/>
  <cols>
    <col min="1" max="1" width="2.86328125" style="17" customWidth="1"/>
    <col min="2" max="2" width="37" style="17" customWidth="1"/>
    <col min="3" max="3" width="14.59765625" style="17" customWidth="1"/>
    <col min="4" max="4" width="0.265625" style="17" customWidth="1"/>
    <col min="5" max="5" width="9.1328125" style="17"/>
    <col min="6" max="6" width="10.265625" style="29" bestFit="1" customWidth="1"/>
    <col min="7" max="7" width="9.1328125" style="29"/>
    <col min="8" max="8" width="9.1328125" style="30"/>
    <col min="9" max="16384" width="9.1328125" style="17"/>
  </cols>
  <sheetData>
    <row r="1" spans="2:8" x14ac:dyDescent="0.35">
      <c r="B1" s="37"/>
      <c r="C1" s="37"/>
    </row>
    <row r="2" spans="2:8" ht="13.15" x14ac:dyDescent="0.4">
      <c r="B2" s="38" t="s">
        <v>71</v>
      </c>
      <c r="C2" s="38"/>
      <c r="D2" s="38"/>
      <c r="F2" s="29" t="s">
        <v>91</v>
      </c>
      <c r="G2" s="29" t="s">
        <v>104</v>
      </c>
    </row>
    <row r="3" spans="2:8" ht="15" customHeight="1" x14ac:dyDescent="0.35">
      <c r="B3" s="21" t="s">
        <v>70</v>
      </c>
      <c r="C3" s="45"/>
      <c r="D3" s="46"/>
      <c r="F3" s="35">
        <f>'Investor Summary'!D15</f>
        <v>5</v>
      </c>
      <c r="G3" s="35">
        <f>F3</f>
        <v>5</v>
      </c>
    </row>
    <row r="4" spans="2:8" ht="48.75" customHeight="1" x14ac:dyDescent="0.35">
      <c r="B4" s="22" t="s">
        <v>69</v>
      </c>
      <c r="C4" s="47"/>
      <c r="D4" s="48"/>
      <c r="F4" s="35"/>
      <c r="G4" s="36"/>
    </row>
    <row r="5" spans="2:8" ht="15" customHeight="1" x14ac:dyDescent="0.35">
      <c r="B5" s="21" t="s">
        <v>68</v>
      </c>
      <c r="C5" s="49"/>
      <c r="D5" s="42"/>
      <c r="F5" s="35">
        <f>'Investor Summary'!D6+'Investor Summary'!D13</f>
        <v>27.200000000000003</v>
      </c>
      <c r="G5" s="35">
        <f>F5</f>
        <v>27.200000000000003</v>
      </c>
    </row>
    <row r="6" spans="2:8" ht="48.75" customHeight="1" x14ac:dyDescent="0.35">
      <c r="B6" s="20" t="s">
        <v>67</v>
      </c>
      <c r="C6" s="50"/>
      <c r="D6" s="44"/>
      <c r="F6" s="35"/>
      <c r="G6" s="36"/>
      <c r="H6" s="31" t="s">
        <v>106</v>
      </c>
    </row>
    <row r="7" spans="2:8" ht="15" customHeight="1" x14ac:dyDescent="0.35">
      <c r="B7" s="21" t="s">
        <v>66</v>
      </c>
      <c r="C7" s="49"/>
      <c r="D7" s="42"/>
      <c r="F7" s="35">
        <f>0.05*SUM('Investor Summary'!D5,'Investor Summary'!D7:D11,'Investor Summary'!D12)</f>
        <v>14.361224000000002</v>
      </c>
      <c r="G7" s="35">
        <f>0.05*SUM('Investor Summary'!J5,'Investor Summary'!J7:J11,'Investor Summary'!J12)</f>
        <v>6.0796432000000005</v>
      </c>
    </row>
    <row r="8" spans="2:8" ht="48.75" customHeight="1" x14ac:dyDescent="0.35">
      <c r="B8" s="20" t="s">
        <v>65</v>
      </c>
      <c r="C8" s="50"/>
      <c r="D8" s="44"/>
      <c r="F8" s="35"/>
      <c r="G8" s="35"/>
      <c r="H8" s="31" t="s">
        <v>107</v>
      </c>
    </row>
    <row r="9" spans="2:8" ht="15" customHeight="1" x14ac:dyDescent="0.35">
      <c r="B9" s="21" t="s">
        <v>64</v>
      </c>
      <c r="C9" s="49"/>
      <c r="D9" s="42"/>
      <c r="F9" s="35">
        <f>0.7*SUM('Investor Summary'!D5,'Investor Summary'!D7:D11,'Investor Summary'!D12)</f>
        <v>201.05713600000001</v>
      </c>
      <c r="G9" s="35">
        <f>0.7*SUM('Investor Summary'!J5,'Investor Summary'!J7:J11,'Investor Summary'!J12)</f>
        <v>85.115004799999994</v>
      </c>
    </row>
    <row r="10" spans="2:8" ht="48.75" customHeight="1" x14ac:dyDescent="0.35">
      <c r="B10" s="20" t="s">
        <v>63</v>
      </c>
      <c r="C10" s="50"/>
      <c r="D10" s="44"/>
      <c r="F10" s="35"/>
      <c r="G10" s="35"/>
      <c r="H10" s="32" t="s">
        <v>109</v>
      </c>
    </row>
    <row r="11" spans="2:8" ht="15" customHeight="1" x14ac:dyDescent="0.35">
      <c r="B11" s="21" t="s">
        <v>62</v>
      </c>
      <c r="C11" s="41"/>
      <c r="D11" s="42"/>
      <c r="F11" s="35">
        <f>0.25*SUM('Investor Summary'!D5,'Investor Summary'!D7:D11,'Investor Summary'!D12)+'Investor Summary'!D14</f>
        <v>86.806120000000007</v>
      </c>
      <c r="G11" s="35">
        <f>0.25*SUM('Investor Summary'!J5,'Investor Summary'!J7:J11,'Investor Summary'!J12)+'Investor Summary'!J14</f>
        <v>45.398216000000005</v>
      </c>
    </row>
    <row r="12" spans="2:8" ht="48.75" customHeight="1" x14ac:dyDescent="0.35">
      <c r="B12" s="20" t="s">
        <v>61</v>
      </c>
      <c r="C12" s="43"/>
      <c r="D12" s="44"/>
      <c r="F12" s="35"/>
      <c r="G12" s="35"/>
      <c r="H12" s="31" t="s">
        <v>108</v>
      </c>
    </row>
    <row r="13" spans="2:8" ht="17.25" customHeight="1" x14ac:dyDescent="0.35">
      <c r="B13" s="37"/>
      <c r="C13" s="37"/>
    </row>
    <row r="14" spans="2:8" ht="17.25" customHeight="1" x14ac:dyDescent="0.35">
      <c r="B14" s="17" t="s">
        <v>91</v>
      </c>
      <c r="F14" s="34">
        <f>SUM(F3:F12)</f>
        <v>334.42448000000002</v>
      </c>
      <c r="G14" s="34">
        <f>SUM(G3:G12)</f>
        <v>168.79286400000001</v>
      </c>
    </row>
    <row r="15" spans="2:8" ht="17.25" customHeight="1" x14ac:dyDescent="0.35"/>
    <row r="16" spans="2:8" ht="13.15" x14ac:dyDescent="0.4">
      <c r="B16" s="38" t="s">
        <v>60</v>
      </c>
      <c r="C16" s="38"/>
      <c r="D16" s="19"/>
    </row>
    <row r="17" spans="2:4" ht="45" customHeight="1" x14ac:dyDescent="0.35">
      <c r="B17" s="39" t="s">
        <v>59</v>
      </c>
      <c r="C17" s="40"/>
      <c r="D17" s="18"/>
    </row>
    <row r="18" spans="2:4" ht="45" customHeight="1" x14ac:dyDescent="0.35">
      <c r="B18" s="39" t="s">
        <v>58</v>
      </c>
      <c r="C18" s="40"/>
      <c r="D18" s="18"/>
    </row>
  </sheetData>
  <mergeCells count="21">
    <mergeCell ref="C9:D10"/>
    <mergeCell ref="B13:C13"/>
    <mergeCell ref="B16:C16"/>
    <mergeCell ref="B17:C17"/>
    <mergeCell ref="B18:C18"/>
    <mergeCell ref="C11:D12"/>
    <mergeCell ref="B1:C1"/>
    <mergeCell ref="B2:D2"/>
    <mergeCell ref="F3:F4"/>
    <mergeCell ref="F5:F6"/>
    <mergeCell ref="F7:F8"/>
    <mergeCell ref="C3:D4"/>
    <mergeCell ref="C5:D6"/>
    <mergeCell ref="C7:D8"/>
    <mergeCell ref="F11:F12"/>
    <mergeCell ref="G3:G4"/>
    <mergeCell ref="G5:G6"/>
    <mergeCell ref="G7:G8"/>
    <mergeCell ref="G9:G10"/>
    <mergeCell ref="G11:G12"/>
    <mergeCell ref="F9:F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8C3EC74DB07449B441C6E918DBBFE" ma:contentTypeVersion="15" ma:contentTypeDescription="Create a new document." ma:contentTypeScope="" ma:versionID="369d85c6f70ce24a8444e2cf5a88d30b">
  <xsd:schema xmlns:xsd="http://www.w3.org/2001/XMLSchema" xmlns:xs="http://www.w3.org/2001/XMLSchema" xmlns:p="http://schemas.microsoft.com/office/2006/metadata/properties" xmlns:ns2="a6408cb1-f383-43d9-bc9c-766bed4241a3" xmlns:ns3="462d0c2c-bdc6-4e50-abe2-d77906d21cba" targetNamespace="http://schemas.microsoft.com/office/2006/metadata/properties" ma:root="true" ma:fieldsID="22fe23c380ea3e31e254859aaba2e707" ns2:_="" ns3:_="">
    <xsd:import namespace="a6408cb1-f383-43d9-bc9c-766bed4241a3"/>
    <xsd:import namespace="462d0c2c-bdc6-4e50-abe2-d77906d21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08cb1-f383-43d9-bc9c-766bed42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6f28194-f658-4104-b998-15f20e6c08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d0c2c-bdc6-4e50-abe2-d77906d21c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d1478dc-cc73-4e30-8c9f-6972075192ba}" ma:internalName="TaxCatchAll" ma:showField="CatchAllData" ma:web="462d0c2c-bdc6-4e50-abe2-d77906d21c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408cb1-f383-43d9-bc9c-766bed4241a3">
      <Terms xmlns="http://schemas.microsoft.com/office/infopath/2007/PartnerControls"/>
    </lcf76f155ced4ddcb4097134ff3c332f>
    <TaxCatchAll xmlns="462d0c2c-bdc6-4e50-abe2-d77906d21cba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8660CA-230F-4E79-9617-53E9B2FFDA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408cb1-f383-43d9-bc9c-766bed4241a3"/>
    <ds:schemaRef ds:uri="462d0c2c-bdc6-4e50-abe2-d77906d21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F2526F-3B31-40C4-9CCA-1D7D21ADFF37}">
  <ds:schemaRefs>
    <ds:schemaRef ds:uri="http://schemas.openxmlformats.org/package/2006/metadata/core-properties"/>
    <ds:schemaRef ds:uri="http://purl.org/dc/elements/1.1/"/>
    <ds:schemaRef ds:uri="a6408cb1-f383-43d9-bc9c-766bed4241a3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462d0c2c-bdc6-4e50-abe2-d77906d21cb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6EE3910-885A-4F40-BC6F-6033CAAE80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Investor Summary</vt:lpstr>
      <vt:lpstr>4.01 CAPEX List</vt:lpstr>
      <vt:lpstr>JETI Program - 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Mullen</dc:creator>
  <cp:lastModifiedBy>Alex Griggs</cp:lastModifiedBy>
  <dcterms:created xsi:type="dcterms:W3CDTF">2025-10-31T21:18:01Z</dcterms:created>
  <dcterms:modified xsi:type="dcterms:W3CDTF">2026-04-23T01:09:33Z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0x0101009708C3EC74DB07449B441C6E918DBBFE</vt:lpwstr>
  </property>
</Properties>
</file>